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_Mastermind-GUI\"/>
    </mc:Choice>
  </mc:AlternateContent>
  <xr:revisionPtr revIDLastSave="0" documentId="13_ncr:1_{49BFD7D7-4CB9-4F4E-AC2C-FF01632A4061}" xr6:coauthVersionLast="47" xr6:coauthVersionMax="47" xr10:uidLastSave="{00000000-0000-0000-0000-000000000000}"/>
  <bookViews>
    <workbookView xWindow="28680" yWindow="-120" windowWidth="29040" windowHeight="15840" tabRatio="615" xr2:uid="{00000000-000D-0000-FFFF-FFFF00000000}"/>
  </bookViews>
  <sheets>
    <sheet name="Vide" sheetId="23" r:id="rId1"/>
    <sheet name="MASTER" sheetId="4" state="hidden" r:id="rId2"/>
  </sheets>
  <functionGroups builtInGroupCount="19"/>
  <definedNames>
    <definedName name="_xlnm.Print_Area" localSheetId="1">MASTER!$A$1:$S$39</definedName>
    <definedName name="_xlnm.Print_Area" localSheetId="0">Vide!$A$1:$S$39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4" l="1"/>
  <c r="Q9" i="4"/>
  <c r="Q10" i="4"/>
  <c r="Q11" i="4"/>
  <c r="Q12" i="4"/>
  <c r="Q13" i="4"/>
  <c r="Q14" i="4"/>
  <c r="Q15" i="4"/>
  <c r="O8" i="4"/>
  <c r="O9" i="4"/>
  <c r="O10" i="4"/>
  <c r="O11" i="4"/>
  <c r="O12" i="4"/>
  <c r="O13" i="4"/>
  <c r="O14" i="4"/>
  <c r="O15" i="4"/>
  <c r="L8" i="4"/>
  <c r="L9" i="4"/>
  <c r="L10" i="4"/>
  <c r="L11" i="4"/>
  <c r="L12" i="4"/>
  <c r="L13" i="4"/>
  <c r="L14" i="4"/>
  <c r="L15" i="4"/>
  <c r="I8" i="4"/>
  <c r="I9" i="4"/>
  <c r="I10" i="4"/>
  <c r="I11" i="4"/>
  <c r="I12" i="4"/>
  <c r="I13" i="4"/>
  <c r="I14" i="4"/>
  <c r="I15" i="4"/>
  <c r="F8" i="4"/>
  <c r="F9" i="4"/>
  <c r="F10" i="4"/>
  <c r="F11" i="4"/>
  <c r="F12" i="4"/>
  <c r="F13" i="4"/>
  <c r="F14" i="4"/>
  <c r="F15" i="4"/>
  <c r="E7" i="4"/>
  <c r="H7" i="4"/>
  <c r="K7" i="4"/>
  <c r="N7" i="4"/>
  <c r="Q7" i="4"/>
  <c r="R7" i="4"/>
  <c r="B8" i="4"/>
  <c r="C8" i="4"/>
  <c r="D8" i="4"/>
  <c r="D9" i="4"/>
  <c r="D10" i="4"/>
  <c r="C11" i="4"/>
  <c r="D11" i="4"/>
  <c r="D12" i="4"/>
  <c r="D13" i="4"/>
  <c r="C14" i="4"/>
  <c r="D14" i="4"/>
  <c r="C15" i="4"/>
  <c r="D15" i="4"/>
  <c r="N4" i="4" l="1"/>
  <c r="N3" i="4"/>
  <c r="N2" i="4"/>
  <c r="H4" i="4"/>
  <c r="H3" i="4"/>
  <c r="R8" i="4"/>
  <c r="R9" i="4"/>
  <c r="R10" i="4"/>
  <c r="R11" i="4"/>
  <c r="R12" i="4"/>
  <c r="R13" i="4"/>
  <c r="R14" i="4"/>
  <c r="R15" i="4"/>
  <c r="Q23" i="4" l="1"/>
</calcChain>
</file>

<file path=xl/sharedStrings.xml><?xml version="1.0" encoding="utf-8"?>
<sst xmlns="http://schemas.openxmlformats.org/spreadsheetml/2006/main" count="158" uniqueCount="72">
  <si>
    <t xml:space="preserve">ÉVALUATION DES COMPÉTENCES EN PRATIQUE POUR LA FORMATION </t>
  </si>
  <si>
    <t>ETML</t>
  </si>
  <si>
    <t>INFORMATICIEN-NE</t>
  </si>
  <si>
    <t>Nom et Prénom :</t>
  </si>
  <si>
    <t>Nom du projet :</t>
  </si>
  <si>
    <t>MasterMind</t>
  </si>
  <si>
    <t>Année de formation - classe :</t>
  </si>
  <si>
    <t>FIN1</t>
  </si>
  <si>
    <t>Semaines :</t>
  </si>
  <si>
    <t>Enseignant :</t>
  </si>
  <si>
    <t>ACD</t>
  </si>
  <si>
    <t>Dates :</t>
  </si>
  <si>
    <t>du 12 nov. 2023 au 8 jan. 2024</t>
  </si>
  <si>
    <t>LARGEMENT ACQUIS
5.5 ou 6.0</t>
  </si>
  <si>
    <t>SUFFISANT
4.0, 4.5 ou 5.0</t>
  </si>
  <si>
    <t>INSUFFISANT
2.5, 3.0 ou 3.5</t>
  </si>
  <si>
    <t>NON ACQUIS
1.0, 1.5, ou 2.0</t>
  </si>
  <si>
    <t>Coeff.</t>
  </si>
  <si>
    <t>Totaux</t>
  </si>
  <si>
    <t>COMPÉTENCES</t>
  </si>
  <si>
    <t>PROFESSIONNELLES</t>
  </si>
  <si>
    <t>Rythme de travail
Rapidité, Efficacité</t>
  </si>
  <si>
    <t>o
o
o</t>
  </si>
  <si>
    <t>Travaille rapidement et de façon optimale</t>
  </si>
  <si>
    <t>Respecte les délais fixés avec un rythme normal</t>
  </si>
  <si>
    <t>Travaille lentement et ne respecte pas vraiment les délais</t>
  </si>
  <si>
    <t>Travaille trop lentement et ne respecte pas assez les délais</t>
  </si>
  <si>
    <t/>
  </si>
  <si>
    <t>Conscience professionnelle
Qualité du travail</t>
  </si>
  <si>
    <t>Produit un travail parfaitement utilisable et transmissible sans retouches</t>
  </si>
  <si>
    <t>Produit un travail utilisable, et transmissible, moyennant quelques retouches</t>
  </si>
  <si>
    <t>Produit un travail exigeant des corrections pour être utilisable</t>
  </si>
  <si>
    <t>Produit un travail qui est inutilisable</t>
  </si>
  <si>
    <t>Connaissances professionnelles
Techniques enseignées</t>
  </si>
  <si>
    <t>Intègre totalement dans sa pratique les notions apprises</t>
  </si>
  <si>
    <t>Intègre relativement dans sa pratique les notions théoriques apprises</t>
  </si>
  <si>
    <t>Rencontre des difficultés dans sa pratique car a des lacunes dans les notions de bases</t>
  </si>
  <si>
    <t>Bloque régulièrement dans sa pratique par manques importants dans les notions de base</t>
  </si>
  <si>
    <t>METHODOLOGIQUES</t>
  </si>
  <si>
    <t>Processus de travail</t>
  </si>
  <si>
    <t>Respecte parfaitement les règles et processus de travail</t>
  </si>
  <si>
    <t>Respecte à peu près les règles et processus de travail</t>
  </si>
  <si>
    <t>Devrait mieux respecter les règles et processus de travail</t>
  </si>
  <si>
    <t>Ignore les règles et processus de travail</t>
  </si>
  <si>
    <t>Expression orale et écrite
Technique de présentation</t>
  </si>
  <si>
    <t>Maîtrise parfaitement les différents moyens et outils de communication et de documentation</t>
  </si>
  <si>
    <t>Utilise les différents moyens et outils de communication et de documentation</t>
  </si>
  <si>
    <t>Pourrait utiliser plus, ou mieux, les différents moyens et outils de communication et de documentation</t>
  </si>
  <si>
    <t>Ignore la plupart des moyens et outils de communication et de documentation</t>
  </si>
  <si>
    <t>Approche écologique et économique</t>
  </si>
  <si>
    <t>Recourt systématiquement aux technologies et moyens qui ménagent les ressources et les coûts</t>
  </si>
  <si>
    <t>Utilise les technologies et moyens qui ménagent les ressources et les coûts</t>
  </si>
  <si>
    <t>Devrait mieux utiliser les technologies et moyens qui ménagent les ressources et les coûts</t>
  </si>
  <si>
    <t>Ignore les technologies et moyens qui ménagent les ressources et les coûts</t>
  </si>
  <si>
    <t>SOCIALES</t>
  </si>
  <si>
    <t>Aptitude au travail en équipe Gestion des conflits Communication</t>
  </si>
  <si>
    <t>Influence positivement le groupe, manifeste un esprit entreprenant, constructif et cherche des solutions</t>
  </si>
  <si>
    <t>Maintien les bonnes relations
et participe aux solutions</t>
  </si>
  <si>
    <t>Perturbe parfois le bon fonctionnement du groupe, réagit de manière irréfléchie et/ou disproportionnée</t>
  </si>
  <si>
    <t xml:space="preserve">Se comporte socialement de manière irrespectueuse </t>
  </si>
  <si>
    <t>PERSONNELLES</t>
  </si>
  <si>
    <t>Autonomie
Attitude face au travail
Faculté d'apprendre</t>
  </si>
  <si>
    <t>Est indépendant, entreprenant, et s'adapte facilement aux changements</t>
  </si>
  <si>
    <t>A parfois besoin d'aide (justifiée), fait ce qui est attendu de sa personne</t>
  </si>
  <si>
    <t>A souvent besoin d'aide, minimise ses erreurs et subit les changements</t>
  </si>
  <si>
    <t>Est trop dépendant des autres, nie ses erreurs et est inapte aux changements</t>
  </si>
  <si>
    <t>Remarque(s) :</t>
  </si>
  <si>
    <t>Date :</t>
  </si>
  <si>
    <t>Apprenti :</t>
  </si>
  <si>
    <t xml:space="preserve">Enseignant : </t>
  </si>
  <si>
    <t>MASTER</t>
  </si>
  <si>
    <t>Carneiro Dany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</si>
</sst>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\ mmmm\ yyyy"/>
  </numFmts>
  <fonts count="50">
    <font>
      <sz val="11"/>
      <name val="Century Gothic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28"/>
      <name val="Arial"/>
      <family val="2"/>
    </font>
    <font>
      <b/>
      <sz val="36"/>
      <name val="Arial"/>
      <family val="2"/>
    </font>
    <font>
      <b/>
      <sz val="20"/>
      <name val="Century Gothic"/>
      <family val="2"/>
    </font>
    <font>
      <sz val="24"/>
      <name val="Century Gothic"/>
      <family val="2"/>
    </font>
    <font>
      <sz val="10"/>
      <name val="Century Gothic"/>
      <family val="2"/>
    </font>
    <font>
      <sz val="16"/>
      <name val="Century Gothic"/>
      <family val="2"/>
    </font>
    <font>
      <b/>
      <sz val="20"/>
      <name val="Arial"/>
      <family val="2"/>
    </font>
    <font>
      <sz val="14"/>
      <name val="Arial"/>
      <family val="2"/>
    </font>
    <font>
      <sz val="24"/>
      <name val="Arial"/>
      <family val="2"/>
    </font>
    <font>
      <b/>
      <sz val="18"/>
      <name val="Century Gothic"/>
      <family val="2"/>
    </font>
    <font>
      <b/>
      <sz val="36"/>
      <name val="ZapfDingbats"/>
      <family val="5"/>
      <charset val="2"/>
    </font>
    <font>
      <b/>
      <sz val="14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24"/>
      <color indexed="9"/>
      <name val="Arial"/>
      <family val="2"/>
    </font>
    <font>
      <sz val="18"/>
      <name val="Century Gothic"/>
      <family val="2"/>
    </font>
    <font>
      <sz val="12"/>
      <color indexed="9"/>
      <name val="Arial"/>
      <family val="2"/>
    </font>
    <font>
      <b/>
      <sz val="18"/>
      <color indexed="8"/>
      <name val="Century Gothic"/>
      <family val="2"/>
    </font>
    <font>
      <b/>
      <sz val="12"/>
      <name val="Century Gothic"/>
      <family val="2"/>
    </font>
    <font>
      <sz val="10"/>
      <color indexed="9"/>
      <name val="Arial"/>
      <family val="2"/>
    </font>
    <font>
      <b/>
      <sz val="20"/>
      <color indexed="8"/>
      <name val="Arial"/>
      <family val="2"/>
    </font>
    <font>
      <sz val="16"/>
      <color indexed="8"/>
      <name val="Century Gothic"/>
      <family val="2"/>
    </font>
    <font>
      <sz val="22"/>
      <name val="Wingdings"/>
      <charset val="2"/>
    </font>
    <font>
      <b/>
      <sz val="16"/>
      <name val="Century Gothic"/>
      <family val="2"/>
    </font>
    <font>
      <b/>
      <sz val="24"/>
      <name val="Century Gothic"/>
      <family val="2"/>
    </font>
    <font>
      <sz val="20"/>
      <name val="Arial"/>
      <family val="2"/>
    </font>
    <font>
      <b/>
      <sz val="22"/>
      <name val="Arial"/>
      <family val="2"/>
    </font>
    <font>
      <b/>
      <sz val="22"/>
      <color indexed="8"/>
      <name val="Arial"/>
      <family val="2"/>
    </font>
    <font>
      <u/>
      <sz val="10"/>
      <color indexed="12"/>
      <name val="Arial"/>
      <family val="2"/>
    </font>
    <font>
      <u/>
      <sz val="20"/>
      <color indexed="12"/>
      <name val="Arial"/>
      <family val="2"/>
    </font>
    <font>
      <b/>
      <sz val="24"/>
      <name val="Wingdings"/>
      <charset val="2"/>
    </font>
    <font>
      <sz val="28"/>
      <name val="Wingdings"/>
      <charset val="2"/>
    </font>
    <font>
      <b/>
      <sz val="12"/>
      <name val="Arial"/>
      <family val="2"/>
    </font>
    <font>
      <i/>
      <sz val="22"/>
      <name val="Century Gothic"/>
      <family val="2"/>
    </font>
    <font>
      <b/>
      <sz val="22"/>
      <color indexed="8"/>
      <name val="Century Gothic"/>
      <family val="2"/>
    </font>
    <font>
      <u/>
      <sz val="22"/>
      <color indexed="12"/>
      <name val="Century Gothic"/>
      <family val="2"/>
    </font>
    <font>
      <b/>
      <sz val="22"/>
      <name val="Century Gothic"/>
      <family val="2"/>
    </font>
    <font>
      <sz val="22"/>
      <name val="Century Gothic"/>
      <family val="2"/>
    </font>
    <font>
      <sz val="36"/>
      <name val="ETML L"/>
      <family val="2"/>
    </font>
    <font>
      <b/>
      <sz val="36"/>
      <name val="Century Gothic"/>
      <family val="2"/>
    </font>
    <font>
      <sz val="18"/>
      <name val="Century Gothic"/>
      <family val="2"/>
      <scheme val="minor"/>
    </font>
    <font>
      <b/>
      <strike/>
      <sz val="16"/>
      <name val="Century Gothic"/>
      <family val="2"/>
    </font>
    <font>
      <strike/>
      <sz val="22"/>
      <name val="Century Gothic"/>
      <family val="2"/>
    </font>
    <font>
      <strike/>
      <sz val="16"/>
      <name val="Century Gothic"/>
      <family val="2"/>
    </font>
    <font>
      <b/>
      <strike/>
      <sz val="20"/>
      <name val="Century Gothic"/>
      <family val="2"/>
    </font>
    <font>
      <strike/>
      <sz val="16"/>
      <color indexed="8"/>
      <name val="Century Gothic"/>
      <family val="2"/>
    </font>
    <font>
      <b/>
      <strike/>
      <sz val="20"/>
      <color indexed="8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35">
    <xf numFmtId="0" fontId="0" fillId="0" borderId="0" xfId="0"/>
    <xf numFmtId="0" fontId="1" fillId="0" borderId="0" xfId="1"/>
    <xf numFmtId="0" fontId="1" fillId="0" borderId="4" xfId="1" applyBorder="1"/>
    <xf numFmtId="0" fontId="1" fillId="0" borderId="5" xfId="1" applyBorder="1"/>
    <xf numFmtId="0" fontId="1" fillId="0" borderId="9" xfId="1" applyBorder="1"/>
    <xf numFmtId="0" fontId="1" fillId="0" borderId="7" xfId="1" applyBorder="1"/>
    <xf numFmtId="0" fontId="5" fillId="0" borderId="0" xfId="1" applyFont="1" applyAlignment="1">
      <alignment vertical="center" wrapText="1"/>
    </xf>
    <xf numFmtId="0" fontId="6" fillId="0" borderId="0" xfId="1" applyFont="1"/>
    <xf numFmtId="0" fontId="7" fillId="0" borderId="0" xfId="1" applyFont="1"/>
    <xf numFmtId="0" fontId="8" fillId="0" borderId="0" xfId="1" applyFont="1"/>
    <xf numFmtId="0" fontId="9" fillId="0" borderId="0" xfId="1" applyFont="1" applyAlignment="1">
      <alignment horizontal="right"/>
    </xf>
    <xf numFmtId="0" fontId="1" fillId="0" borderId="3" xfId="1" applyBorder="1"/>
    <xf numFmtId="165" fontId="6" fillId="0" borderId="0" xfId="1" applyNumberFormat="1" applyFont="1" applyAlignment="1">
      <alignment horizontal="centerContinuous"/>
    </xf>
    <xf numFmtId="0" fontId="11" fillId="0" borderId="0" xfId="1" applyFont="1" applyAlignment="1">
      <alignment horizontal="right"/>
    </xf>
    <xf numFmtId="0" fontId="12" fillId="0" borderId="0" xfId="1" applyFont="1"/>
    <xf numFmtId="0" fontId="11" fillId="0" borderId="0" xfId="1" applyFont="1"/>
    <xf numFmtId="0" fontId="14" fillId="0" borderId="0" xfId="1" applyFont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/>
    <xf numFmtId="0" fontId="18" fillId="0" borderId="0" xfId="1" applyFont="1"/>
    <xf numFmtId="0" fontId="10" fillId="0" borderId="0" xfId="1" applyFont="1" applyAlignment="1">
      <alignment horizontal="left"/>
    </xf>
    <xf numFmtId="0" fontId="10" fillId="0" borderId="0" xfId="1" applyFont="1"/>
    <xf numFmtId="0" fontId="20" fillId="0" borderId="0" xfId="1" applyFont="1" applyAlignment="1">
      <alignment vertical="center" wrapText="1"/>
    </xf>
    <xf numFmtId="0" fontId="21" fillId="0" borderId="0" xfId="1" applyFont="1"/>
    <xf numFmtId="0" fontId="22" fillId="0" borderId="0" xfId="1" applyFont="1" applyAlignment="1">
      <alignment vertical="center" wrapText="1"/>
    </xf>
    <xf numFmtId="0" fontId="1" fillId="0" borderId="0" xfId="1" applyAlignment="1">
      <alignment vertical="center" wrapText="1"/>
    </xf>
    <xf numFmtId="164" fontId="9" fillId="0" borderId="17" xfId="1" applyNumberFormat="1" applyFont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0" fontId="26" fillId="0" borderId="22" xfId="1" applyFont="1" applyBorder="1" applyAlignment="1">
      <alignment horizontal="center" vertical="center" wrapText="1"/>
    </xf>
    <xf numFmtId="0" fontId="21" fillId="0" borderId="23" xfId="1" applyFont="1" applyBorder="1" applyAlignment="1">
      <alignment horizontal="center" vertical="center" textRotation="90" wrapText="1"/>
    </xf>
    <xf numFmtId="0" fontId="26" fillId="0" borderId="27" xfId="1" applyFont="1" applyBorder="1" applyAlignment="1">
      <alignment horizontal="center" vertical="center" wrapText="1"/>
    </xf>
    <xf numFmtId="164" fontId="9" fillId="0" borderId="32" xfId="1" applyNumberFormat="1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26" fillId="0" borderId="35" xfId="1" applyFont="1" applyBorder="1" applyAlignment="1">
      <alignment horizontal="center" vertical="center" wrapText="1"/>
    </xf>
    <xf numFmtId="164" fontId="9" fillId="0" borderId="37" xfId="1" applyNumberFormat="1" applyFont="1" applyBorder="1" applyAlignment="1">
      <alignment horizontal="center" vertical="center"/>
    </xf>
    <xf numFmtId="0" fontId="5" fillId="0" borderId="38" xfId="1" applyFont="1" applyBorder="1" applyAlignment="1">
      <alignment horizontal="center" vertical="center"/>
    </xf>
    <xf numFmtId="0" fontId="26" fillId="0" borderId="42" xfId="1" applyFont="1" applyBorder="1" applyAlignment="1">
      <alignment horizontal="center" vertical="center" wrapText="1"/>
    </xf>
    <xf numFmtId="164" fontId="9" fillId="0" borderId="44" xfId="1" applyNumberFormat="1" applyFont="1" applyBorder="1" applyAlignment="1">
      <alignment horizontal="center" vertical="center"/>
    </xf>
    <xf numFmtId="0" fontId="5" fillId="0" borderId="45" xfId="1" applyFont="1" applyBorder="1" applyAlignment="1">
      <alignment horizontal="center" vertical="center"/>
    </xf>
    <xf numFmtId="0" fontId="26" fillId="0" borderId="48" xfId="1" applyFont="1" applyBorder="1" applyAlignment="1">
      <alignment horizontal="center" vertical="center" wrapText="1"/>
    </xf>
    <xf numFmtId="164" fontId="9" fillId="0" borderId="50" xfId="1" applyNumberFormat="1" applyFont="1" applyBorder="1" applyAlignment="1">
      <alignment horizontal="center" vertical="center"/>
    </xf>
    <xf numFmtId="0" fontId="26" fillId="0" borderId="41" xfId="1" applyFont="1" applyBorder="1" applyAlignment="1">
      <alignment horizontal="center" vertical="center" wrapText="1"/>
    </xf>
    <xf numFmtId="0" fontId="28" fillId="0" borderId="0" xfId="1" applyFont="1" applyAlignment="1">
      <alignment vertical="center"/>
    </xf>
    <xf numFmtId="0" fontId="16" fillId="0" borderId="0" xfId="1" applyFont="1" applyAlignment="1">
      <alignment horizontal="left" vertical="center" wrapText="1"/>
    </xf>
    <xf numFmtId="0" fontId="28" fillId="0" borderId="7" xfId="1" applyFont="1" applyBorder="1" applyAlignment="1">
      <alignment vertical="center"/>
    </xf>
    <xf numFmtId="0" fontId="21" fillId="0" borderId="19" xfId="1" applyFont="1" applyBorder="1" applyAlignment="1">
      <alignment horizontal="center" vertical="center" textRotation="90"/>
    </xf>
    <xf numFmtId="0" fontId="21" fillId="0" borderId="53" xfId="1" applyFont="1" applyBorder="1" applyAlignment="1">
      <alignment horizontal="center" vertical="center" textRotation="90"/>
    </xf>
    <xf numFmtId="0" fontId="28" fillId="0" borderId="14" xfId="1" applyFont="1" applyBorder="1" applyAlignment="1">
      <alignment vertical="center" wrapText="1"/>
    </xf>
    <xf numFmtId="0" fontId="28" fillId="0" borderId="3" xfId="1" applyFont="1" applyBorder="1" applyAlignment="1">
      <alignment vertical="center"/>
    </xf>
    <xf numFmtId="0" fontId="14" fillId="0" borderId="0" xfId="1" applyFont="1"/>
    <xf numFmtId="0" fontId="14" fillId="0" borderId="7" xfId="1" applyFont="1" applyBorder="1"/>
    <xf numFmtId="0" fontId="29" fillId="0" borderId="0" xfId="1" applyFont="1" applyAlignment="1">
      <alignment horizontal="left"/>
    </xf>
    <xf numFmtId="0" fontId="1" fillId="0" borderId="0" xfId="1" applyAlignment="1">
      <alignment horizontal="left"/>
    </xf>
    <xf numFmtId="0" fontId="14" fillId="0" borderId="0" xfId="1" applyFont="1" applyAlignment="1">
      <alignment horizontal="left"/>
    </xf>
    <xf numFmtId="0" fontId="14" fillId="0" borderId="0" xfId="1" applyFont="1" applyAlignment="1">
      <alignment horizontal="right"/>
    </xf>
    <xf numFmtId="0" fontId="14" fillId="0" borderId="3" xfId="1" applyFont="1" applyBorder="1"/>
    <xf numFmtId="0" fontId="29" fillId="0" borderId="0" xfId="1" applyFont="1"/>
    <xf numFmtId="0" fontId="29" fillId="0" borderId="4" xfId="1" applyFont="1" applyBorder="1"/>
    <xf numFmtId="0" fontId="9" fillId="0" borderId="5" xfId="1" applyFont="1" applyBorder="1"/>
    <xf numFmtId="0" fontId="29" fillId="0" borderId="5" xfId="1" applyFont="1" applyBorder="1"/>
    <xf numFmtId="0" fontId="30" fillId="0" borderId="5" xfId="1" applyFont="1" applyBorder="1" applyAlignment="1">
      <alignment horizontal="right"/>
    </xf>
    <xf numFmtId="0" fontId="23" fillId="0" borderId="5" xfId="1" applyFont="1" applyBorder="1" applyAlignment="1">
      <alignment horizontal="right"/>
    </xf>
    <xf numFmtId="0" fontId="32" fillId="0" borderId="5" xfId="2" applyFont="1" applyBorder="1" applyAlignment="1" applyProtection="1">
      <alignment horizontal="left"/>
    </xf>
    <xf numFmtId="0" fontId="29" fillId="0" borderId="5" xfId="1" applyFont="1" applyBorder="1" applyAlignment="1">
      <alignment horizontal="right"/>
    </xf>
    <xf numFmtId="0" fontId="16" fillId="0" borderId="5" xfId="1" applyFont="1" applyBorder="1" applyAlignment="1">
      <alignment vertical="center"/>
    </xf>
    <xf numFmtId="0" fontId="33" fillId="0" borderId="5" xfId="1" applyFont="1" applyBorder="1" applyAlignment="1">
      <alignment horizontal="center" vertical="center"/>
    </xf>
    <xf numFmtId="0" fontId="16" fillId="0" borderId="5" xfId="1" applyFont="1" applyBorder="1" applyAlignment="1">
      <alignment horizontal="left" vertical="center"/>
    </xf>
    <xf numFmtId="0" fontId="34" fillId="0" borderId="5" xfId="1" applyFont="1" applyBorder="1" applyAlignment="1">
      <alignment horizontal="center" vertical="center"/>
    </xf>
    <xf numFmtId="0" fontId="35" fillId="0" borderId="5" xfId="1" applyFont="1" applyBorder="1" applyAlignment="1">
      <alignment horizontal="center" vertical="center" textRotation="90"/>
    </xf>
    <xf numFmtId="0" fontId="29" fillId="0" borderId="9" xfId="1" applyFont="1" applyBorder="1"/>
    <xf numFmtId="0" fontId="29" fillId="0" borderId="7" xfId="1" applyFont="1" applyBorder="1"/>
    <xf numFmtId="0" fontId="36" fillId="0" borderId="12" xfId="1" applyFont="1" applyBorder="1" applyAlignment="1">
      <alignment horizontal="left"/>
    </xf>
    <xf numFmtId="0" fontId="37" fillId="0" borderId="0" xfId="1" applyFont="1" applyAlignment="1">
      <alignment horizontal="right"/>
    </xf>
    <xf numFmtId="0" fontId="38" fillId="0" borderId="0" xfId="2" applyFont="1" applyBorder="1" applyAlignment="1" applyProtection="1">
      <alignment horizontal="left"/>
    </xf>
    <xf numFmtId="0" fontId="39" fillId="0" borderId="0" xfId="1" applyFont="1" applyAlignment="1">
      <alignment horizontal="right" vertical="center"/>
    </xf>
    <xf numFmtId="0" fontId="39" fillId="0" borderId="0" xfId="1" applyFont="1"/>
    <xf numFmtId="0" fontId="39" fillId="0" borderId="0" xfId="1" applyFont="1" applyAlignment="1">
      <alignment horizontal="center" vertical="center"/>
    </xf>
    <xf numFmtId="0" fontId="39" fillId="0" borderId="0" xfId="1" applyFont="1" applyAlignment="1">
      <alignment horizontal="left"/>
    </xf>
    <xf numFmtId="0" fontId="40" fillId="0" borderId="0" xfId="1" applyFont="1" applyAlignment="1">
      <alignment horizontal="center"/>
    </xf>
    <xf numFmtId="0" fontId="29" fillId="0" borderId="3" xfId="1" applyFont="1" applyBorder="1"/>
    <xf numFmtId="0" fontId="1" fillId="0" borderId="0" xfId="1" applyAlignment="1">
      <alignment vertical="center"/>
    </xf>
    <xf numFmtId="0" fontId="1" fillId="0" borderId="7" xfId="1" applyBorder="1" applyAlignment="1">
      <alignment horizontal="centerContinuous" vertical="center"/>
    </xf>
    <xf numFmtId="0" fontId="39" fillId="0" borderId="0" xfId="1" applyFont="1" applyAlignment="1">
      <alignment vertical="center"/>
    </xf>
    <xf numFmtId="0" fontId="40" fillId="0" borderId="0" xfId="1" applyFont="1" applyAlignment="1">
      <alignment vertical="center"/>
    </xf>
    <xf numFmtId="0" fontId="39" fillId="0" borderId="0" xfId="1" applyFont="1" applyAlignment="1">
      <alignment vertical="center" wrapText="1"/>
    </xf>
    <xf numFmtId="0" fontId="1" fillId="0" borderId="3" xfId="1" applyBorder="1" applyAlignment="1">
      <alignment vertical="center"/>
    </xf>
    <xf numFmtId="0" fontId="39" fillId="0" borderId="0" xfId="1" applyFont="1" applyAlignment="1">
      <alignment horizontal="right"/>
    </xf>
    <xf numFmtId="0" fontId="40" fillId="0" borderId="0" xfId="1" applyFont="1"/>
    <xf numFmtId="0" fontId="1" fillId="0" borderId="8" xfId="1" applyBorder="1"/>
    <xf numFmtId="0" fontId="1" fillId="0" borderId="2" xfId="1" applyBorder="1"/>
    <xf numFmtId="0" fontId="7" fillId="0" borderId="2" xfId="1" applyFont="1" applyBorder="1"/>
    <xf numFmtId="0" fontId="42" fillId="0" borderId="2" xfId="1" applyFont="1" applyBorder="1" applyAlignment="1">
      <alignment horizontal="left" vertical="center"/>
    </xf>
    <xf numFmtId="0" fontId="1" fillId="0" borderId="1" xfId="1" applyBorder="1"/>
    <xf numFmtId="0" fontId="36" fillId="0" borderId="12" xfId="1" applyFont="1" applyBorder="1" applyAlignment="1">
      <alignment horizontal="left" wrapText="1"/>
    </xf>
    <xf numFmtId="0" fontId="25" fillId="2" borderId="41" xfId="1" applyFont="1" applyFill="1" applyBorder="1" applyAlignment="1" applyProtection="1">
      <alignment horizontal="center" vertical="center" wrapText="1"/>
      <protection locked="0"/>
    </xf>
    <xf numFmtId="0" fontId="8" fillId="2" borderId="10" xfId="1" applyFont="1" applyFill="1" applyBorder="1" applyAlignment="1">
      <alignment vertical="center" wrapText="1"/>
    </xf>
    <xf numFmtId="164" fontId="9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48" xfId="1" applyFont="1" applyFill="1" applyBorder="1" applyAlignment="1" applyProtection="1">
      <alignment horizontal="center" vertical="center" wrapText="1"/>
      <protection locked="0"/>
    </xf>
    <xf numFmtId="0" fontId="24" fillId="2" borderId="47" xfId="1" applyFont="1" applyFill="1" applyBorder="1" applyAlignment="1">
      <alignment vertical="center" wrapText="1"/>
    </xf>
    <xf numFmtId="164" fontId="23" fillId="2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26" xfId="1" applyFont="1" applyFill="1" applyBorder="1" applyAlignment="1" applyProtection="1">
      <alignment horizontal="center" vertical="center" wrapText="1"/>
      <protection locked="0"/>
    </xf>
    <xf numFmtId="0" fontId="8" fillId="2" borderId="47" xfId="1" applyFont="1" applyFill="1" applyBorder="1" applyAlignment="1">
      <alignment vertical="center" wrapText="1"/>
    </xf>
    <xf numFmtId="164" fontId="9" fillId="2" borderId="46" xfId="1" applyNumberFormat="1" applyFont="1" applyFill="1" applyBorder="1" applyAlignment="1" applyProtection="1">
      <alignment horizontal="center" vertical="center" wrapText="1"/>
      <protection locked="0"/>
    </xf>
    <xf numFmtId="0" fontId="24" fillId="2" borderId="40" xfId="1" applyFont="1" applyFill="1" applyBorder="1" applyAlignment="1">
      <alignment vertical="center" wrapText="1"/>
    </xf>
    <xf numFmtId="164" fontId="23" fillId="2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34" xfId="1" applyFont="1" applyFill="1" applyBorder="1" applyAlignment="1" applyProtection="1">
      <alignment horizontal="center" vertical="center" wrapText="1"/>
      <protection locked="0"/>
    </xf>
    <xf numFmtId="0" fontId="8" fillId="2" borderId="15" xfId="1" applyFont="1" applyFill="1" applyBorder="1" applyAlignment="1">
      <alignment vertical="center" wrapText="1"/>
    </xf>
    <xf numFmtId="164" fontId="9" fillId="2" borderId="16" xfId="1" applyNumberFormat="1" applyFont="1" applyFill="1" applyBorder="1" applyAlignment="1" applyProtection="1">
      <alignment horizontal="center" vertical="center" wrapText="1"/>
      <protection locked="0"/>
    </xf>
    <xf numFmtId="0" fontId="8" fillId="2" borderId="30" xfId="1" applyFont="1" applyFill="1" applyBorder="1" applyAlignment="1">
      <alignment vertical="center" wrapText="1"/>
    </xf>
    <xf numFmtId="164" fontId="9" fillId="2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2" borderId="25" xfId="1" applyFont="1" applyFill="1" applyBorder="1" applyAlignment="1">
      <alignment vertical="center" wrapText="1"/>
    </xf>
    <xf numFmtId="164" fontId="23" fillId="2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2" borderId="21" xfId="1" applyFont="1" applyFill="1" applyBorder="1" applyAlignment="1" applyProtection="1">
      <alignment horizontal="center" vertical="center" wrapText="1"/>
      <protection locked="0"/>
    </xf>
    <xf numFmtId="0" fontId="24" fillId="2" borderId="20" xfId="1" applyFont="1" applyFill="1" applyBorder="1" applyAlignment="1">
      <alignment vertical="center" wrapText="1"/>
    </xf>
    <xf numFmtId="164" fontId="23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41" xfId="1" applyFont="1" applyFill="1" applyBorder="1" applyAlignment="1" applyProtection="1">
      <alignment horizontal="center" vertical="center" wrapText="1"/>
      <protection locked="0"/>
    </xf>
    <xf numFmtId="0" fontId="24" fillId="3" borderId="10" xfId="1" applyFont="1" applyFill="1" applyBorder="1" applyAlignment="1">
      <alignment vertical="center" wrapText="1"/>
    </xf>
    <xf numFmtId="164" fontId="23" fillId="3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48" xfId="1" applyFont="1" applyFill="1" applyBorder="1" applyAlignment="1" applyProtection="1">
      <alignment horizontal="center" vertical="center" wrapText="1"/>
      <protection locked="0"/>
    </xf>
    <xf numFmtId="0" fontId="8" fillId="3" borderId="47" xfId="1" applyFont="1" applyFill="1" applyBorder="1" applyAlignment="1">
      <alignment vertical="center" wrapText="1"/>
    </xf>
    <xf numFmtId="164" fontId="9" fillId="3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26" xfId="1" applyFont="1" applyFill="1" applyBorder="1" applyAlignment="1" applyProtection="1">
      <alignment horizontal="center" vertical="center" wrapText="1"/>
      <protection locked="0"/>
    </xf>
    <xf numFmtId="0" fontId="24" fillId="3" borderId="40" xfId="1" applyFont="1" applyFill="1" applyBorder="1" applyAlignment="1">
      <alignment vertical="center" wrapText="1"/>
    </xf>
    <xf numFmtId="164" fontId="23" fillId="3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34" xfId="1" applyFont="1" applyFill="1" applyBorder="1" applyAlignment="1" applyProtection="1">
      <alignment horizontal="center" vertical="center" wrapText="1"/>
      <protection locked="0"/>
    </xf>
    <xf numFmtId="0" fontId="8" fillId="3" borderId="15" xfId="1" applyFont="1" applyFill="1" applyBorder="1" applyAlignment="1">
      <alignment vertical="center" wrapText="1"/>
    </xf>
    <xf numFmtId="164" fontId="9" fillId="3" borderId="16" xfId="1" applyNumberFormat="1" applyFont="1" applyFill="1" applyBorder="1" applyAlignment="1" applyProtection="1">
      <alignment horizontal="center" vertical="center" wrapText="1"/>
      <protection locked="0"/>
    </xf>
    <xf numFmtId="0" fontId="8" fillId="3" borderId="25" xfId="1" applyFont="1" applyFill="1" applyBorder="1" applyAlignment="1">
      <alignment vertical="center" wrapText="1"/>
    </xf>
    <xf numFmtId="164" fontId="9" fillId="3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21" xfId="1" applyFont="1" applyFill="1" applyBorder="1" applyAlignment="1" applyProtection="1">
      <alignment horizontal="center" vertical="center" wrapText="1"/>
      <protection locked="0"/>
    </xf>
    <xf numFmtId="0" fontId="8" fillId="3" borderId="20" xfId="1" applyFont="1" applyFill="1" applyBorder="1" applyAlignment="1">
      <alignment vertical="center" wrapText="1"/>
    </xf>
    <xf numFmtId="164" fontId="9" fillId="3" borderId="19" xfId="1" applyNumberFormat="1" applyFont="1" applyFill="1" applyBorder="1" applyAlignment="1" applyProtection="1">
      <alignment horizontal="center" vertical="center" wrapText="1"/>
      <protection locked="0"/>
    </xf>
    <xf numFmtId="0" fontId="25" fillId="4" borderId="41" xfId="1" applyFont="1" applyFill="1" applyBorder="1" applyAlignment="1" applyProtection="1">
      <alignment horizontal="center" vertical="center" wrapText="1"/>
      <protection locked="0"/>
    </xf>
    <xf numFmtId="0" fontId="24" fillId="4" borderId="10" xfId="1" applyFont="1" applyFill="1" applyBorder="1" applyAlignment="1">
      <alignment vertical="center" wrapText="1"/>
    </xf>
    <xf numFmtId="164" fontId="9" fillId="4" borderId="11" xfId="1" applyNumberFormat="1" applyFont="1" applyFill="1" applyBorder="1" applyAlignment="1" applyProtection="1">
      <alignment horizontal="center" vertical="center"/>
      <protection locked="0"/>
    </xf>
    <xf numFmtId="0" fontId="25" fillId="4" borderId="48" xfId="1" applyFont="1" applyFill="1" applyBorder="1" applyAlignment="1" applyProtection="1">
      <alignment horizontal="center" vertical="center" wrapText="1"/>
      <protection locked="0"/>
    </xf>
    <xf numFmtId="0" fontId="24" fillId="4" borderId="47" xfId="1" applyFont="1" applyFill="1" applyBorder="1" applyAlignment="1">
      <alignment vertical="center" wrapText="1"/>
    </xf>
    <xf numFmtId="164" fontId="9" fillId="4" borderId="46" xfId="1" applyNumberFormat="1" applyFont="1" applyFill="1" applyBorder="1" applyAlignment="1" applyProtection="1">
      <alignment horizontal="center" vertical="center"/>
      <protection locked="0"/>
    </xf>
    <xf numFmtId="0" fontId="25" fillId="4" borderId="26" xfId="1" applyFont="1" applyFill="1" applyBorder="1" applyAlignment="1" applyProtection="1">
      <alignment horizontal="center" vertical="center" wrapText="1"/>
      <protection locked="0"/>
    </xf>
    <xf numFmtId="0" fontId="24" fillId="4" borderId="40" xfId="1" applyFont="1" applyFill="1" applyBorder="1" applyAlignment="1">
      <alignment vertical="center" wrapText="1"/>
    </xf>
    <xf numFmtId="164" fontId="9" fillId="4" borderId="39" xfId="1" applyNumberFormat="1" applyFont="1" applyFill="1" applyBorder="1" applyAlignment="1" applyProtection="1">
      <alignment horizontal="center" vertical="center"/>
      <protection locked="0"/>
    </xf>
    <xf numFmtId="0" fontId="25" fillId="4" borderId="34" xfId="1" applyFont="1" applyFill="1" applyBorder="1" applyAlignment="1" applyProtection="1">
      <alignment horizontal="center" vertical="center" wrapText="1"/>
      <protection locked="0"/>
    </xf>
    <xf numFmtId="0" fontId="24" fillId="4" borderId="15" xfId="1" applyFont="1" applyFill="1" applyBorder="1" applyAlignment="1">
      <alignment vertical="center" wrapText="1"/>
    </xf>
    <xf numFmtId="164" fontId="9" fillId="4" borderId="16" xfId="1" applyNumberFormat="1" applyFont="1" applyFill="1" applyBorder="1" applyAlignment="1" applyProtection="1">
      <alignment horizontal="center" vertical="center"/>
      <protection locked="0"/>
    </xf>
    <xf numFmtId="0" fontId="24" fillId="4" borderId="30" xfId="1" applyFont="1" applyFill="1" applyBorder="1" applyAlignment="1">
      <alignment vertical="center" wrapText="1"/>
    </xf>
    <xf numFmtId="164" fontId="9" fillId="4" borderId="29" xfId="1" applyNumberFormat="1" applyFont="1" applyFill="1" applyBorder="1" applyAlignment="1" applyProtection="1">
      <alignment horizontal="center" vertical="center"/>
      <protection locked="0"/>
    </xf>
    <xf numFmtId="0" fontId="24" fillId="4" borderId="25" xfId="1" applyFont="1" applyFill="1" applyBorder="1" applyAlignment="1">
      <alignment vertical="center" wrapText="1"/>
    </xf>
    <xf numFmtId="164" fontId="9" fillId="4" borderId="17" xfId="1" applyNumberFormat="1" applyFont="1" applyFill="1" applyBorder="1" applyAlignment="1" applyProtection="1">
      <alignment horizontal="center" vertical="center"/>
      <protection locked="0"/>
    </xf>
    <xf numFmtId="0" fontId="25" fillId="4" borderId="21" xfId="1" applyFont="1" applyFill="1" applyBorder="1" applyAlignment="1" applyProtection="1">
      <alignment horizontal="center" vertical="center" wrapText="1"/>
      <protection locked="0"/>
    </xf>
    <xf numFmtId="0" fontId="24" fillId="4" borderId="20" xfId="1" applyFont="1" applyFill="1" applyBorder="1" applyAlignment="1">
      <alignment vertical="center" wrapText="1"/>
    </xf>
    <xf numFmtId="164" fontId="9" fillId="4" borderId="19" xfId="1" applyNumberFormat="1" applyFont="1" applyFill="1" applyBorder="1" applyAlignment="1" applyProtection="1">
      <alignment horizontal="center" vertical="center"/>
      <protection locked="0"/>
    </xf>
    <xf numFmtId="0" fontId="25" fillId="5" borderId="41" xfId="1" applyFont="1" applyFill="1" applyBorder="1" applyAlignment="1" applyProtection="1">
      <alignment horizontal="center" vertical="center" wrapText="1"/>
      <protection locked="0"/>
    </xf>
    <xf numFmtId="0" fontId="24" fillId="5" borderId="10" xfId="1" applyFont="1" applyFill="1" applyBorder="1" applyAlignment="1">
      <alignment vertical="center" wrapText="1"/>
    </xf>
    <xf numFmtId="164" fontId="23" fillId="5" borderId="11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48" xfId="1" applyFont="1" applyFill="1" applyBorder="1" applyAlignment="1" applyProtection="1">
      <alignment horizontal="center" vertical="center" wrapText="1"/>
      <protection locked="0"/>
    </xf>
    <xf numFmtId="0" fontId="24" fillId="5" borderId="47" xfId="1" applyFont="1" applyFill="1" applyBorder="1" applyAlignment="1">
      <alignment vertical="center" wrapText="1"/>
    </xf>
    <xf numFmtId="164" fontId="23" fillId="5" borderId="46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26" xfId="1" applyFont="1" applyFill="1" applyBorder="1" applyAlignment="1" applyProtection="1">
      <alignment horizontal="center" vertical="center" wrapText="1"/>
      <protection locked="0"/>
    </xf>
    <xf numFmtId="0" fontId="24" fillId="5" borderId="40" xfId="1" applyFont="1" applyFill="1" applyBorder="1" applyAlignment="1">
      <alignment vertical="center" wrapText="1"/>
    </xf>
    <xf numFmtId="164" fontId="23" fillId="5" borderId="39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34" xfId="1" applyFont="1" applyFill="1" applyBorder="1" applyAlignment="1" applyProtection="1">
      <alignment horizontal="center" vertical="center" wrapText="1"/>
      <protection locked="0"/>
    </xf>
    <xf numFmtId="0" fontId="24" fillId="5" borderId="15" xfId="1" applyFont="1" applyFill="1" applyBorder="1" applyAlignment="1">
      <alignment vertical="center" wrapText="1"/>
    </xf>
    <xf numFmtId="164" fontId="23" fillId="5" borderId="16" xfId="1" applyNumberFormat="1" applyFont="1" applyFill="1" applyBorder="1" applyAlignment="1" applyProtection="1">
      <alignment horizontal="center" vertical="center" wrapText="1"/>
      <protection locked="0"/>
    </xf>
    <xf numFmtId="0" fontId="24" fillId="5" borderId="30" xfId="1" applyFont="1" applyFill="1" applyBorder="1" applyAlignment="1">
      <alignment vertical="center" wrapText="1"/>
    </xf>
    <xf numFmtId="164" fontId="23" fillId="5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5" borderId="25" xfId="1" applyFont="1" applyFill="1" applyBorder="1" applyAlignment="1">
      <alignment vertical="center" wrapText="1"/>
    </xf>
    <xf numFmtId="164" fontId="23" fillId="5" borderId="17" xfId="1" applyNumberFormat="1" applyFont="1" applyFill="1" applyBorder="1" applyAlignment="1" applyProtection="1">
      <alignment horizontal="center" vertical="center" wrapText="1"/>
      <protection locked="0"/>
    </xf>
    <xf numFmtId="0" fontId="25" fillId="5" borderId="21" xfId="1" applyFont="1" applyFill="1" applyBorder="1" applyAlignment="1" applyProtection="1">
      <alignment horizontal="center" vertical="center" wrapText="1"/>
      <protection locked="0"/>
    </xf>
    <xf numFmtId="0" fontId="24" fillId="5" borderId="20" xfId="1" applyFont="1" applyFill="1" applyBorder="1" applyAlignment="1">
      <alignment horizontal="left" vertical="center" wrapText="1"/>
    </xf>
    <xf numFmtId="164" fontId="23" fillId="5" borderId="19" xfId="1" applyNumberFormat="1" applyFont="1" applyFill="1" applyBorder="1" applyAlignment="1" applyProtection="1">
      <alignment horizontal="center" vertical="center" wrapText="1"/>
      <protection locked="0"/>
    </xf>
    <xf numFmtId="0" fontId="44" fillId="0" borderId="35" xfId="1" applyFont="1" applyBorder="1" applyAlignment="1">
      <alignment horizontal="center" vertical="center" wrapText="1"/>
    </xf>
    <xf numFmtId="0" fontId="45" fillId="3" borderId="34" xfId="1" applyFont="1" applyFill="1" applyBorder="1" applyAlignment="1" applyProtection="1">
      <alignment horizontal="center" vertical="center" wrapText="1"/>
      <protection locked="0"/>
    </xf>
    <xf numFmtId="0" fontId="46" fillId="3" borderId="15" xfId="1" applyFont="1" applyFill="1" applyBorder="1" applyAlignment="1">
      <alignment vertical="center" wrapText="1"/>
    </xf>
    <xf numFmtId="164" fontId="47" fillId="3" borderId="16" xfId="1" applyNumberFormat="1" applyFont="1" applyFill="1" applyBorder="1" applyAlignment="1" applyProtection="1">
      <alignment horizontal="center" vertical="center" wrapText="1"/>
      <protection locked="0"/>
    </xf>
    <xf numFmtId="0" fontId="45" fillId="2" borderId="34" xfId="1" applyFont="1" applyFill="1" applyBorder="1" applyAlignment="1" applyProtection="1">
      <alignment horizontal="center" vertical="center" wrapText="1"/>
      <protection locked="0"/>
    </xf>
    <xf numFmtId="0" fontId="46" fillId="2" borderId="15" xfId="1" applyFont="1" applyFill="1" applyBorder="1" applyAlignment="1">
      <alignment vertical="center" wrapText="1"/>
    </xf>
    <xf numFmtId="164" fontId="47" fillId="2" borderId="16" xfId="1" applyNumberFormat="1" applyFont="1" applyFill="1" applyBorder="1" applyAlignment="1" applyProtection="1">
      <alignment horizontal="center" vertical="center" wrapText="1"/>
      <protection locked="0"/>
    </xf>
    <xf numFmtId="0" fontId="45" fillId="4" borderId="34" xfId="1" applyFont="1" applyFill="1" applyBorder="1" applyAlignment="1" applyProtection="1">
      <alignment horizontal="center" vertical="center" wrapText="1"/>
      <protection locked="0"/>
    </xf>
    <xf numFmtId="0" fontId="48" fillId="4" borderId="15" xfId="1" applyFont="1" applyFill="1" applyBorder="1" applyAlignment="1">
      <alignment vertical="center" wrapText="1"/>
    </xf>
    <xf numFmtId="164" fontId="47" fillId="4" borderId="16" xfId="1" applyNumberFormat="1" applyFont="1" applyFill="1" applyBorder="1" applyAlignment="1" applyProtection="1">
      <alignment horizontal="center" vertical="center"/>
      <protection locked="0"/>
    </xf>
    <xf numFmtId="0" fontId="45" fillId="5" borderId="34" xfId="1" applyFont="1" applyFill="1" applyBorder="1" applyAlignment="1" applyProtection="1">
      <alignment horizontal="center" vertical="center" wrapText="1"/>
      <protection locked="0"/>
    </xf>
    <xf numFmtId="0" fontId="48" fillId="5" borderId="15" xfId="1" applyFont="1" applyFill="1" applyBorder="1" applyAlignment="1">
      <alignment vertical="center" wrapText="1"/>
    </xf>
    <xf numFmtId="164" fontId="49" fillId="5" borderId="16" xfId="1" applyNumberFormat="1" applyFont="1" applyFill="1" applyBorder="1" applyAlignment="1" applyProtection="1">
      <alignment horizontal="center" vertical="center" wrapText="1"/>
      <protection locked="0"/>
    </xf>
    <xf numFmtId="0" fontId="47" fillId="0" borderId="33" xfId="1" applyFont="1" applyBorder="1" applyAlignment="1">
      <alignment horizontal="center" vertical="center"/>
    </xf>
    <xf numFmtId="164" fontId="47" fillId="0" borderId="32" xfId="1" applyNumberFormat="1" applyFont="1" applyBorder="1" applyAlignment="1">
      <alignment horizontal="center" vertical="center"/>
    </xf>
    <xf numFmtId="0" fontId="44" fillId="0" borderId="27" xfId="1" applyFont="1" applyBorder="1" applyAlignment="1">
      <alignment horizontal="center" vertical="center" wrapText="1"/>
    </xf>
    <xf numFmtId="0" fontId="45" fillId="3" borderId="26" xfId="1" applyFont="1" applyFill="1" applyBorder="1" applyAlignment="1" applyProtection="1">
      <alignment horizontal="center" vertical="center" wrapText="1"/>
      <protection locked="0"/>
    </xf>
    <xf numFmtId="0" fontId="46" fillId="3" borderId="25" xfId="1" applyFont="1" applyFill="1" applyBorder="1" applyAlignment="1">
      <alignment vertical="center" wrapText="1"/>
    </xf>
    <xf numFmtId="164" fontId="47" fillId="3" borderId="17" xfId="1" applyNumberFormat="1" applyFont="1" applyFill="1" applyBorder="1" applyAlignment="1" applyProtection="1">
      <alignment horizontal="center" vertical="center" wrapText="1"/>
      <protection locked="0"/>
    </xf>
    <xf numFmtId="0" fontId="45" fillId="2" borderId="26" xfId="1" applyFont="1" applyFill="1" applyBorder="1" applyAlignment="1" applyProtection="1">
      <alignment horizontal="center" vertical="center" wrapText="1"/>
      <protection locked="0"/>
    </xf>
    <xf numFmtId="0" fontId="46" fillId="2" borderId="30" xfId="1" applyFont="1" applyFill="1" applyBorder="1" applyAlignment="1">
      <alignment vertical="center" wrapText="1"/>
    </xf>
    <xf numFmtId="164" fontId="47" fillId="2" borderId="29" xfId="1" applyNumberFormat="1" applyFont="1" applyFill="1" applyBorder="1" applyAlignment="1" applyProtection="1">
      <alignment horizontal="center" vertical="center" wrapText="1"/>
      <protection locked="0"/>
    </xf>
    <xf numFmtId="0" fontId="45" fillId="4" borderId="26" xfId="1" applyFont="1" applyFill="1" applyBorder="1" applyAlignment="1" applyProtection="1">
      <alignment horizontal="center" vertical="center" wrapText="1"/>
      <protection locked="0"/>
    </xf>
    <xf numFmtId="0" fontId="48" fillId="4" borderId="30" xfId="1" applyFont="1" applyFill="1" applyBorder="1" applyAlignment="1">
      <alignment vertical="center" wrapText="1"/>
    </xf>
    <xf numFmtId="164" fontId="47" fillId="4" borderId="29" xfId="1" applyNumberFormat="1" applyFont="1" applyFill="1" applyBorder="1" applyAlignment="1" applyProtection="1">
      <alignment horizontal="center" vertical="center"/>
      <protection locked="0"/>
    </xf>
    <xf numFmtId="0" fontId="45" fillId="5" borderId="26" xfId="1" applyFont="1" applyFill="1" applyBorder="1" applyAlignment="1" applyProtection="1">
      <alignment horizontal="center" vertical="center" wrapText="1"/>
      <protection locked="0"/>
    </xf>
    <xf numFmtId="0" fontId="48" fillId="5" borderId="30" xfId="1" applyFont="1" applyFill="1" applyBorder="1" applyAlignment="1">
      <alignment vertical="center" wrapText="1"/>
    </xf>
    <xf numFmtId="164" fontId="49" fillId="5" borderId="29" xfId="1" applyNumberFormat="1" applyFont="1" applyFill="1" applyBorder="1" applyAlignment="1" applyProtection="1">
      <alignment horizontal="center" vertical="center" wrapText="1"/>
      <protection locked="0"/>
    </xf>
    <xf numFmtId="0" fontId="47" fillId="0" borderId="18" xfId="1" applyFont="1" applyBorder="1" applyAlignment="1">
      <alignment horizontal="center" vertical="center"/>
    </xf>
    <xf numFmtId="164" fontId="47" fillId="0" borderId="17" xfId="1" applyNumberFormat="1" applyFont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36" fillId="0" borderId="13" xfId="1" applyFont="1" applyBorder="1" applyAlignment="1">
      <alignment horizontal="left"/>
    </xf>
    <xf numFmtId="0" fontId="5" fillId="3" borderId="22" xfId="1" applyFont="1" applyFill="1" applyBorder="1" applyAlignment="1">
      <alignment horizontal="center" vertical="center" wrapText="1"/>
    </xf>
    <xf numFmtId="0" fontId="5" fillId="3" borderId="22" xfId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 wrapText="1"/>
    </xf>
    <xf numFmtId="0" fontId="5" fillId="2" borderId="22" xfId="1" applyFont="1" applyFill="1" applyBorder="1" applyAlignment="1">
      <alignment horizontal="center" vertical="center"/>
    </xf>
    <xf numFmtId="0" fontId="5" fillId="4" borderId="22" xfId="1" applyFont="1" applyFill="1" applyBorder="1" applyAlignment="1">
      <alignment horizontal="center" vertical="center" wrapText="1"/>
    </xf>
    <xf numFmtId="0" fontId="5" fillId="4" borderId="22" xfId="1" applyFont="1" applyFill="1" applyBorder="1" applyAlignment="1">
      <alignment horizontal="center" vertical="center"/>
    </xf>
    <xf numFmtId="0" fontId="5" fillId="5" borderId="22" xfId="1" applyFont="1" applyFill="1" applyBorder="1" applyAlignment="1">
      <alignment horizontal="center" vertical="center" wrapText="1"/>
    </xf>
    <xf numFmtId="0" fontId="5" fillId="5" borderId="22" xfId="1" applyFont="1" applyFill="1" applyBorder="1" applyAlignment="1">
      <alignment horizontal="center" vertical="center"/>
    </xf>
    <xf numFmtId="0" fontId="27" fillId="0" borderId="52" xfId="1" applyFont="1" applyBorder="1" applyAlignment="1">
      <alignment horizontal="center" vertical="center" textRotation="90"/>
    </xf>
    <xf numFmtId="0" fontId="27" fillId="0" borderId="28" xfId="1" applyFont="1" applyBorder="1" applyAlignment="1">
      <alignment horizontal="center" vertical="center" textRotation="90"/>
    </xf>
    <xf numFmtId="0" fontId="27" fillId="0" borderId="24" xfId="1" applyFont="1" applyBorder="1" applyAlignment="1">
      <alignment horizontal="center" vertical="center" textRotation="90"/>
    </xf>
    <xf numFmtId="0" fontId="21" fillId="0" borderId="51" xfId="1" applyFont="1" applyBorder="1" applyAlignment="1">
      <alignment horizontal="center" vertical="center" textRotation="90" wrapText="1"/>
    </xf>
    <xf numFmtId="0" fontId="21" fillId="0" borderId="49" xfId="1" applyFont="1" applyBorder="1" applyAlignment="1">
      <alignment horizontal="center" vertical="center" textRotation="90" wrapText="1"/>
    </xf>
    <xf numFmtId="0" fontId="21" fillId="0" borderId="43" xfId="1" applyFont="1" applyBorder="1" applyAlignment="1">
      <alignment horizontal="center" vertical="center" textRotation="90" wrapText="1"/>
    </xf>
    <xf numFmtId="0" fontId="21" fillId="0" borderId="36" xfId="1" applyFont="1" applyBorder="1" applyAlignment="1">
      <alignment horizontal="center" vertical="center" textRotation="90" wrapText="1"/>
    </xf>
    <xf numFmtId="0" fontId="1" fillId="0" borderId="31" xfId="1" applyBorder="1" applyAlignment="1">
      <alignment horizontal="center" vertical="center" textRotation="90" wrapText="1"/>
    </xf>
    <xf numFmtId="0" fontId="19" fillId="0" borderId="0" xfId="1" applyFont="1" applyAlignment="1">
      <alignment horizontal="right" vertical="center" textRotation="90"/>
    </xf>
    <xf numFmtId="14" fontId="43" fillId="0" borderId="12" xfId="1" applyNumberFormat="1" applyFont="1" applyBorder="1" applyAlignment="1" applyProtection="1">
      <alignment horizontal="left" vertical="center"/>
      <protection locked="0"/>
    </xf>
    <xf numFmtId="0" fontId="12" fillId="0" borderId="0" xfId="1" applyFont="1" applyAlignment="1"/>
    <xf numFmtId="14" fontId="18" fillId="0" borderId="12" xfId="1" applyNumberFormat="1" applyFont="1" applyBorder="1" applyAlignment="1" applyProtection="1">
      <alignment horizontal="left"/>
      <protection locked="0"/>
    </xf>
    <xf numFmtId="0" fontId="43" fillId="0" borderId="13" xfId="1" applyFont="1" applyBorder="1" applyAlignment="1" applyProtection="1">
      <alignment horizontal="left" vertical="center"/>
      <protection locked="0"/>
    </xf>
    <xf numFmtId="0" fontId="12" fillId="0" borderId="0" xfId="1" applyFont="1" applyAlignment="1">
      <alignment wrapText="1"/>
    </xf>
    <xf numFmtId="0" fontId="18" fillId="0" borderId="12" xfId="1" applyFont="1" applyBorder="1" applyAlignment="1" applyProtection="1">
      <alignment horizontal="left"/>
      <protection locked="0"/>
    </xf>
    <xf numFmtId="0" fontId="2" fillId="0" borderId="0" xfId="1" applyFont="1" applyAlignment="1">
      <alignment horizontal="left" wrapText="1"/>
    </xf>
    <xf numFmtId="0" fontId="13" fillId="0" borderId="0" xfId="1" applyFont="1" applyAlignment="1">
      <alignment horizontal="left" vertical="center" wrapText="1"/>
    </xf>
    <xf numFmtId="0" fontId="4" fillId="0" borderId="0" xfId="1" applyFont="1" applyAlignment="1">
      <alignment horizontal="left" vertical="center" wrapText="1"/>
    </xf>
    <xf numFmtId="164" fontId="3" fillId="0" borderId="16" xfId="1" applyNumberFormat="1" applyFont="1" applyBorder="1" applyAlignment="1">
      <alignment horizontal="center" vertical="center"/>
    </xf>
    <xf numFmtId="164" fontId="3" fillId="0" borderId="15" xfId="1" applyNumberFormat="1" applyFont="1" applyBorder="1" applyAlignment="1">
      <alignment horizontal="center" vertical="center"/>
    </xf>
    <xf numFmtId="164" fontId="3" fillId="0" borderId="6" xfId="1" applyNumberFormat="1" applyFont="1" applyBorder="1" applyAlignment="1">
      <alignment horizontal="center" vertical="center"/>
    </xf>
    <xf numFmtId="164" fontId="3" fillId="0" borderId="14" xfId="1" applyNumberFormat="1" applyFont="1" applyBorder="1" applyAlignment="1">
      <alignment horizontal="center" vertical="center"/>
    </xf>
    <xf numFmtId="164" fontId="3" fillId="0" borderId="11" xfId="1" applyNumberFormat="1" applyFont="1" applyBorder="1" applyAlignment="1">
      <alignment horizontal="center" vertical="center"/>
    </xf>
    <xf numFmtId="164" fontId="3" fillId="0" borderId="10" xfId="1" applyNumberFormat="1" applyFont="1" applyBorder="1" applyAlignment="1">
      <alignment horizontal="center" vertical="center"/>
    </xf>
  </cellXfs>
  <cellStyles count="3">
    <cellStyle name="Lien hypertexte" xfId="2" builtinId="8"/>
    <cellStyle name="Normal" xfId="0" builtinId="0" customBuiltin="1"/>
    <cellStyle name="Normal 2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518160</xdr:colOff>
      <xdr:row>0</xdr:row>
      <xdr:rowOff>228600</xdr:rowOff>
    </xdr:from>
    <xdr:to>
      <xdr:col>14</xdr:col>
      <xdr:colOff>2593695</xdr:colOff>
      <xdr:row>0</xdr:row>
      <xdr:rowOff>753720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11210" y="228600"/>
          <a:ext cx="2081250" cy="51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518160</xdr:colOff>
      <xdr:row>0</xdr:row>
      <xdr:rowOff>228600</xdr:rowOff>
    </xdr:from>
    <xdr:to>
      <xdr:col>14</xdr:col>
      <xdr:colOff>2599410</xdr:colOff>
      <xdr:row>0</xdr:row>
      <xdr:rowOff>746100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2640" y="228600"/>
          <a:ext cx="2081250" cy="5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AEB3-1168-4BEC-9072-962F71BA63DE}">
  <sheetPr codeName="Feuil21">
    <pageSetUpPr fitToPage="1"/>
  </sheetPr>
  <dimension ref="A1:W83"/>
  <sheetViews>
    <sheetView showGridLines="0" tabSelected="1" zoomScale="50" zoomScaleNormal="50" workbookViewId="0">
      <selection activeCell="H2" sqref="H2"/>
    </sheetView>
  </sheetViews>
  <sheetFormatPr baseColWidth="10" defaultColWidth="11.25" defaultRowHeight="12.75" customHeight="1" zeroHeight="1"/>
  <cols>
    <col min="1" max="1" width="2.375" style="1" customWidth="1"/>
    <col min="2" max="2" width="6.875" style="1" customWidth="1"/>
    <col min="3" max="3" width="9.625" style="1" customWidth="1"/>
    <col min="4" max="4" width="52.75" style="1" customWidth="1"/>
    <col min="5" max="5" width="9.625" style="1" customWidth="1"/>
    <col min="6" max="6" width="43.75" style="1" customWidth="1"/>
    <col min="7" max="8" width="9.625" style="1" customWidth="1"/>
    <col min="9" max="9" width="43.75" style="1" customWidth="1"/>
    <col min="10" max="11" width="9.625" style="1" customWidth="1"/>
    <col min="12" max="12" width="43.75" style="1" customWidth="1"/>
    <col min="13" max="14" width="9.625" style="1" customWidth="1"/>
    <col min="15" max="15" width="43.75" style="1" customWidth="1"/>
    <col min="16" max="16" width="9.625" style="1" customWidth="1"/>
    <col min="17" max="17" width="6.875" style="1" customWidth="1"/>
    <col min="18" max="18" width="9.625" style="1" customWidth="1"/>
    <col min="19" max="19" width="2.375" style="1" customWidth="1"/>
    <col min="20" max="16384" width="11.25" style="1"/>
  </cols>
  <sheetData>
    <row r="1" spans="1:23" ht="71.25" customHeight="1">
      <c r="A1" s="93"/>
      <c r="B1" s="92" t="s">
        <v>0</v>
      </c>
      <c r="C1" s="90"/>
      <c r="D1" s="91"/>
      <c r="E1" s="91"/>
      <c r="F1" s="91"/>
      <c r="G1" s="91"/>
      <c r="H1" s="90"/>
      <c r="I1" s="90"/>
      <c r="J1" s="90"/>
      <c r="K1" s="90"/>
      <c r="L1" s="91"/>
      <c r="M1" s="91"/>
      <c r="N1" s="90"/>
      <c r="O1" s="90"/>
      <c r="P1" s="201" t="s">
        <v>1</v>
      </c>
      <c r="Q1" s="201"/>
      <c r="R1" s="201"/>
      <c r="S1" s="89"/>
    </row>
    <row r="2" spans="1:23" ht="37.5" customHeight="1">
      <c r="A2" s="11"/>
      <c r="B2" s="79"/>
      <c r="C2" s="78" t="s">
        <v>2</v>
      </c>
      <c r="D2" s="88"/>
      <c r="E2" s="88"/>
      <c r="F2" s="88"/>
      <c r="G2" s="87" t="s">
        <v>3</v>
      </c>
      <c r="H2" s="72" t="s">
        <v>71</v>
      </c>
      <c r="I2" s="72"/>
      <c r="J2" s="72"/>
      <c r="K2" s="88"/>
      <c r="L2" s="88"/>
      <c r="M2" s="87" t="s">
        <v>4</v>
      </c>
      <c r="N2" s="72" t="s">
        <v>5</v>
      </c>
      <c r="O2" s="72"/>
      <c r="P2" s="72"/>
      <c r="Q2" s="72"/>
      <c r="R2" s="72"/>
      <c r="S2" s="5"/>
    </row>
    <row r="3" spans="1:23" s="81" customFormat="1" ht="37.5" customHeight="1">
      <c r="A3" s="86"/>
      <c r="B3" s="79"/>
      <c r="C3" s="78"/>
      <c r="D3" s="84"/>
      <c r="E3" s="84"/>
      <c r="F3" s="85"/>
      <c r="G3" s="73" t="s">
        <v>6</v>
      </c>
      <c r="H3" s="72" t="s">
        <v>7</v>
      </c>
      <c r="I3" s="72"/>
      <c r="J3" s="94"/>
      <c r="K3" s="84"/>
      <c r="L3" s="83"/>
      <c r="M3" s="73" t="s">
        <v>8</v>
      </c>
      <c r="N3" s="72">
        <v>8</v>
      </c>
      <c r="O3" s="72"/>
      <c r="P3" s="72"/>
      <c r="Q3" s="72"/>
      <c r="R3" s="72"/>
      <c r="S3" s="82"/>
    </row>
    <row r="4" spans="1:23" s="57" customFormat="1" ht="37.5" customHeight="1">
      <c r="A4" s="80"/>
      <c r="B4" s="79"/>
      <c r="C4" s="78"/>
      <c r="D4" s="76"/>
      <c r="E4" s="77"/>
      <c r="F4" s="76"/>
      <c r="G4" s="75" t="s">
        <v>9</v>
      </c>
      <c r="H4" s="72" t="s">
        <v>10</v>
      </c>
      <c r="I4" s="72"/>
      <c r="J4" s="72"/>
      <c r="K4" s="74"/>
      <c r="L4" s="73"/>
      <c r="M4" s="73" t="s">
        <v>11</v>
      </c>
      <c r="N4" s="202" t="s">
        <v>12</v>
      </c>
      <c r="O4" s="202"/>
      <c r="P4" s="202"/>
      <c r="Q4" s="202"/>
      <c r="R4" s="202"/>
      <c r="S4" s="71"/>
    </row>
    <row r="5" spans="1:23" s="57" customFormat="1" ht="20.100000000000001" customHeight="1" thickBot="1">
      <c r="A5" s="70"/>
      <c r="B5" s="69"/>
      <c r="C5" s="68"/>
      <c r="D5" s="67"/>
      <c r="E5" s="66"/>
      <c r="F5" s="65"/>
      <c r="G5" s="64"/>
      <c r="H5" s="60"/>
      <c r="I5" s="59"/>
      <c r="J5" s="59"/>
      <c r="K5" s="63"/>
      <c r="L5" s="62"/>
      <c r="M5" s="61"/>
      <c r="N5" s="60"/>
      <c r="O5" s="59"/>
      <c r="P5" s="59"/>
      <c r="Q5" s="59"/>
      <c r="R5" s="59"/>
      <c r="S5" s="58"/>
    </row>
    <row r="6" spans="1:23" s="50" customFormat="1" ht="20.100000000000001" customHeight="1" thickBot="1">
      <c r="A6" s="56"/>
      <c r="D6" s="55"/>
      <c r="E6" s="54"/>
      <c r="F6" s="53"/>
      <c r="G6" s="53"/>
      <c r="I6" s="1"/>
      <c r="J6" s="1"/>
      <c r="O6" s="52"/>
      <c r="P6" s="52"/>
      <c r="Q6" s="52"/>
      <c r="S6" s="51"/>
    </row>
    <row r="7" spans="1:23" s="43" customFormat="1" ht="70.150000000000006" customHeight="1" thickTop="1" thickBot="1">
      <c r="A7" s="49"/>
      <c r="D7" s="48"/>
      <c r="E7" s="203" t="s">
        <v>13</v>
      </c>
      <c r="F7" s="204"/>
      <c r="G7" s="204"/>
      <c r="H7" s="205" t="s">
        <v>14</v>
      </c>
      <c r="I7" s="206"/>
      <c r="J7" s="206"/>
      <c r="K7" s="207" t="s">
        <v>15</v>
      </c>
      <c r="L7" s="208"/>
      <c r="M7" s="208"/>
      <c r="N7" s="209" t="s">
        <v>16</v>
      </c>
      <c r="O7" s="210"/>
      <c r="P7" s="210"/>
      <c r="Q7" s="47" t="s">
        <v>17</v>
      </c>
      <c r="R7" s="46" t="s">
        <v>18</v>
      </c>
      <c r="S7" s="45"/>
      <c r="W7" s="44"/>
    </row>
    <row r="8" spans="1:23" ht="100.15" customHeight="1" thickTop="1">
      <c r="A8" s="11"/>
      <c r="B8" s="211" t="s">
        <v>19</v>
      </c>
      <c r="C8" s="214" t="s">
        <v>20</v>
      </c>
      <c r="D8" s="42" t="s">
        <v>21</v>
      </c>
      <c r="E8" s="116" t="s">
        <v>22</v>
      </c>
      <c r="F8" s="117" t="s">
        <v>23</v>
      </c>
      <c r="G8" s="118">
        <v>6</v>
      </c>
      <c r="H8" s="95" t="s">
        <v>22</v>
      </c>
      <c r="I8" s="96" t="s">
        <v>24</v>
      </c>
      <c r="J8" s="97"/>
      <c r="K8" s="133" t="s">
        <v>22</v>
      </c>
      <c r="L8" s="134" t="s">
        <v>25</v>
      </c>
      <c r="M8" s="135"/>
      <c r="N8" s="152" t="s">
        <v>22</v>
      </c>
      <c r="O8" s="153" t="s">
        <v>26</v>
      </c>
      <c r="P8" s="154"/>
      <c r="Q8" s="36">
        <v>1</v>
      </c>
      <c r="R8" s="41" t="s">
        <v>27</v>
      </c>
      <c r="S8" s="5"/>
    </row>
    <row r="9" spans="1:23" ht="100.15" customHeight="1">
      <c r="A9" s="11"/>
      <c r="B9" s="212"/>
      <c r="C9" s="215"/>
      <c r="D9" s="40" t="s">
        <v>28</v>
      </c>
      <c r="E9" s="119" t="s">
        <v>22</v>
      </c>
      <c r="F9" s="120" t="s">
        <v>29</v>
      </c>
      <c r="G9" s="121">
        <v>5.5</v>
      </c>
      <c r="H9" s="98" t="s">
        <v>22</v>
      </c>
      <c r="I9" s="99" t="s">
        <v>30</v>
      </c>
      <c r="J9" s="100"/>
      <c r="K9" s="136" t="s">
        <v>22</v>
      </c>
      <c r="L9" s="137" t="s">
        <v>31</v>
      </c>
      <c r="M9" s="138"/>
      <c r="N9" s="155" t="s">
        <v>22</v>
      </c>
      <c r="O9" s="156" t="s">
        <v>32</v>
      </c>
      <c r="P9" s="157"/>
      <c r="Q9" s="39">
        <v>1</v>
      </c>
      <c r="R9" s="38" t="s">
        <v>27</v>
      </c>
      <c r="S9" s="5"/>
    </row>
    <row r="10" spans="1:23" ht="100.15" customHeight="1" thickBot="1">
      <c r="A10" s="11"/>
      <c r="B10" s="212"/>
      <c r="C10" s="215"/>
      <c r="D10" s="40" t="s">
        <v>33</v>
      </c>
      <c r="E10" s="122" t="s">
        <v>22</v>
      </c>
      <c r="F10" s="120" t="s">
        <v>34</v>
      </c>
      <c r="G10" s="121">
        <v>5.5</v>
      </c>
      <c r="H10" s="101" t="s">
        <v>22</v>
      </c>
      <c r="I10" s="102" t="s">
        <v>35</v>
      </c>
      <c r="J10" s="103"/>
      <c r="K10" s="139" t="s">
        <v>22</v>
      </c>
      <c r="L10" s="137" t="s">
        <v>36</v>
      </c>
      <c r="M10" s="138"/>
      <c r="N10" s="158" t="s">
        <v>22</v>
      </c>
      <c r="O10" s="156" t="s">
        <v>37</v>
      </c>
      <c r="P10" s="157"/>
      <c r="Q10" s="39">
        <v>1</v>
      </c>
      <c r="R10" s="38" t="s">
        <v>27</v>
      </c>
      <c r="S10" s="5"/>
    </row>
    <row r="11" spans="1:23" ht="100.15" customHeight="1" thickTop="1">
      <c r="A11" s="11"/>
      <c r="B11" s="212"/>
      <c r="C11" s="216" t="s">
        <v>38</v>
      </c>
      <c r="D11" s="37" t="s">
        <v>39</v>
      </c>
      <c r="E11" s="116" t="s">
        <v>22</v>
      </c>
      <c r="F11" s="123" t="s">
        <v>40</v>
      </c>
      <c r="G11" s="124"/>
      <c r="H11" s="95" t="s">
        <v>22</v>
      </c>
      <c r="I11" s="104" t="s">
        <v>41</v>
      </c>
      <c r="J11" s="105">
        <v>5</v>
      </c>
      <c r="K11" s="133" t="s">
        <v>22</v>
      </c>
      <c r="L11" s="140" t="s">
        <v>42</v>
      </c>
      <c r="M11" s="141"/>
      <c r="N11" s="152" t="s">
        <v>22</v>
      </c>
      <c r="O11" s="159" t="s">
        <v>43</v>
      </c>
      <c r="P11" s="160"/>
      <c r="Q11" s="36">
        <v>1</v>
      </c>
      <c r="R11" s="35" t="s">
        <v>27</v>
      </c>
      <c r="S11" s="5"/>
    </row>
    <row r="12" spans="1:23" ht="100.15" customHeight="1">
      <c r="A12" s="11"/>
      <c r="B12" s="212"/>
      <c r="C12" s="217"/>
      <c r="D12" s="171" t="s">
        <v>44</v>
      </c>
      <c r="E12" s="172" t="s">
        <v>22</v>
      </c>
      <c r="F12" s="173" t="s">
        <v>45</v>
      </c>
      <c r="G12" s="174"/>
      <c r="H12" s="175" t="s">
        <v>22</v>
      </c>
      <c r="I12" s="176" t="s">
        <v>46</v>
      </c>
      <c r="J12" s="177"/>
      <c r="K12" s="178" t="s">
        <v>22</v>
      </c>
      <c r="L12" s="179" t="s">
        <v>47</v>
      </c>
      <c r="M12" s="180"/>
      <c r="N12" s="181" t="s">
        <v>22</v>
      </c>
      <c r="O12" s="182" t="s">
        <v>48</v>
      </c>
      <c r="P12" s="183"/>
      <c r="Q12" s="184">
        <v>0</v>
      </c>
      <c r="R12" s="185" t="s">
        <v>27</v>
      </c>
      <c r="S12" s="5"/>
    </row>
    <row r="13" spans="1:23" ht="100.15" customHeight="1" thickBot="1">
      <c r="A13" s="11"/>
      <c r="B13" s="212"/>
      <c r="C13" s="218"/>
      <c r="D13" s="186" t="s">
        <v>49</v>
      </c>
      <c r="E13" s="187" t="s">
        <v>22</v>
      </c>
      <c r="F13" s="188" t="s">
        <v>50</v>
      </c>
      <c r="G13" s="189"/>
      <c r="H13" s="190" t="s">
        <v>22</v>
      </c>
      <c r="I13" s="191" t="s">
        <v>51</v>
      </c>
      <c r="J13" s="192"/>
      <c r="K13" s="193" t="s">
        <v>22</v>
      </c>
      <c r="L13" s="194" t="s">
        <v>52</v>
      </c>
      <c r="M13" s="195"/>
      <c r="N13" s="196" t="s">
        <v>22</v>
      </c>
      <c r="O13" s="197" t="s">
        <v>53</v>
      </c>
      <c r="P13" s="198"/>
      <c r="Q13" s="199">
        <v>0</v>
      </c>
      <c r="R13" s="200" t="s">
        <v>27</v>
      </c>
      <c r="S13" s="5"/>
    </row>
    <row r="14" spans="1:23" ht="100.15" customHeight="1" thickTop="1" thickBot="1">
      <c r="A14" s="11"/>
      <c r="B14" s="212"/>
      <c r="C14" s="30" t="s">
        <v>54</v>
      </c>
      <c r="D14" s="31" t="s">
        <v>55</v>
      </c>
      <c r="E14" s="122" t="s">
        <v>22</v>
      </c>
      <c r="F14" s="128" t="s">
        <v>56</v>
      </c>
      <c r="G14" s="129">
        <v>5.5</v>
      </c>
      <c r="H14" s="101" t="s">
        <v>22</v>
      </c>
      <c r="I14" s="111" t="s">
        <v>57</v>
      </c>
      <c r="J14" s="112"/>
      <c r="K14" s="139" t="s">
        <v>22</v>
      </c>
      <c r="L14" s="147" t="s">
        <v>58</v>
      </c>
      <c r="M14" s="148"/>
      <c r="N14" s="158" t="s">
        <v>22</v>
      </c>
      <c r="O14" s="166" t="s">
        <v>59</v>
      </c>
      <c r="P14" s="167"/>
      <c r="Q14" s="28">
        <v>1</v>
      </c>
      <c r="R14" s="27" t="s">
        <v>27</v>
      </c>
      <c r="S14" s="5"/>
    </row>
    <row r="15" spans="1:23" ht="120" customHeight="1" thickTop="1" thickBot="1">
      <c r="A15" s="11"/>
      <c r="B15" s="213"/>
      <c r="C15" s="30" t="s">
        <v>60</v>
      </c>
      <c r="D15" s="29" t="s">
        <v>61</v>
      </c>
      <c r="E15" s="130" t="s">
        <v>22</v>
      </c>
      <c r="F15" s="131" t="s">
        <v>62</v>
      </c>
      <c r="G15" s="132"/>
      <c r="H15" s="113" t="s">
        <v>22</v>
      </c>
      <c r="I15" s="114" t="s">
        <v>63</v>
      </c>
      <c r="J15" s="115">
        <v>4.5</v>
      </c>
      <c r="K15" s="149" t="s">
        <v>22</v>
      </c>
      <c r="L15" s="150" t="s">
        <v>64</v>
      </c>
      <c r="M15" s="151"/>
      <c r="N15" s="168" t="s">
        <v>22</v>
      </c>
      <c r="O15" s="169" t="s">
        <v>65</v>
      </c>
      <c r="P15" s="170"/>
      <c r="Q15" s="28">
        <v>1</v>
      </c>
      <c r="R15" s="27" t="s">
        <v>27</v>
      </c>
      <c r="S15" s="5"/>
    </row>
    <row r="16" spans="1:23" ht="5.0999999999999996" customHeight="1" thickTop="1">
      <c r="A16" s="11"/>
      <c r="L16" s="26"/>
      <c r="O16" s="26"/>
      <c r="P16" s="26"/>
      <c r="Q16" s="25"/>
      <c r="S16" s="5"/>
    </row>
    <row r="17" spans="1:19" ht="25.5" customHeight="1">
      <c r="A17" s="11"/>
      <c r="B17" s="14" t="s">
        <v>66</v>
      </c>
      <c r="K17" s="8"/>
      <c r="L17" s="8"/>
      <c r="M17" s="14"/>
      <c r="N17" s="24"/>
      <c r="O17" s="23"/>
      <c r="P17" s="219" t="s">
        <v>18</v>
      </c>
      <c r="Q17" s="17"/>
      <c r="R17" s="17"/>
      <c r="S17" s="5"/>
    </row>
    <row r="18" spans="1:19" ht="5.0999999999999996" customHeight="1">
      <c r="A18" s="11"/>
      <c r="F18" s="22"/>
      <c r="H18" s="21"/>
      <c r="K18" s="8"/>
      <c r="L18" s="8"/>
      <c r="M18" s="8"/>
      <c r="N18" s="8"/>
      <c r="O18" s="8"/>
      <c r="P18" s="219"/>
      <c r="Q18" s="17"/>
      <c r="R18" s="17"/>
      <c r="S18" s="5"/>
    </row>
    <row r="19" spans="1:19" ht="30" customHeight="1">
      <c r="A19" s="11"/>
      <c r="B19" s="220"/>
      <c r="C19" s="220"/>
      <c r="D19" s="220"/>
      <c r="E19" s="220"/>
      <c r="F19" s="220"/>
      <c r="G19" s="220"/>
      <c r="H19" s="220"/>
      <c r="I19" s="220"/>
      <c r="K19" s="221" t="s">
        <v>67</v>
      </c>
      <c r="L19" s="221"/>
      <c r="M19" s="222"/>
      <c r="N19" s="222"/>
      <c r="O19" s="222"/>
      <c r="P19" s="219"/>
      <c r="Q19" s="17"/>
      <c r="R19" s="17"/>
      <c r="S19" s="5"/>
    </row>
    <row r="20" spans="1:19" ht="30" customHeight="1">
      <c r="A20" s="11"/>
      <c r="B20" s="223"/>
      <c r="C20" s="223"/>
      <c r="D20" s="223"/>
      <c r="E20" s="223"/>
      <c r="F20" s="223"/>
      <c r="G20" s="223"/>
      <c r="H20" s="223"/>
      <c r="I20" s="223"/>
      <c r="K20" s="20"/>
      <c r="L20" s="20"/>
      <c r="M20" s="8"/>
      <c r="N20" s="8"/>
      <c r="O20" s="8"/>
      <c r="P20" s="19"/>
      <c r="Q20" s="18"/>
      <c r="R20" s="17"/>
      <c r="S20" s="5"/>
    </row>
    <row r="21" spans="1:19" ht="30" customHeight="1">
      <c r="A21" s="11"/>
      <c r="B21" s="223"/>
      <c r="C21" s="223"/>
      <c r="D21" s="223"/>
      <c r="E21" s="223"/>
      <c r="F21" s="223"/>
      <c r="G21" s="223"/>
      <c r="H21" s="223"/>
      <c r="I21" s="223"/>
      <c r="K21" s="224" t="s">
        <v>68</v>
      </c>
      <c r="L21" s="224"/>
      <c r="M21" s="225"/>
      <c r="N21" s="225"/>
      <c r="O21" s="225"/>
      <c r="P21" s="15"/>
      <c r="Q21" s="16"/>
      <c r="R21" s="16"/>
      <c r="S21" s="5"/>
    </row>
    <row r="22" spans="1:19" ht="30" customHeight="1">
      <c r="A22" s="11"/>
      <c r="B22" s="223"/>
      <c r="C22" s="223"/>
      <c r="D22" s="223"/>
      <c r="E22" s="223"/>
      <c r="F22" s="223"/>
      <c r="G22" s="223"/>
      <c r="H22" s="223"/>
      <c r="I22" s="223"/>
      <c r="K22" s="8"/>
      <c r="L22" s="8"/>
      <c r="M22" s="8"/>
      <c r="N22" s="8"/>
      <c r="O22" s="8"/>
      <c r="P22" s="15"/>
      <c r="Q22" s="15"/>
      <c r="S22" s="5"/>
    </row>
    <row r="23" spans="1:19" ht="30" customHeight="1">
      <c r="A23" s="11"/>
      <c r="B23" s="223"/>
      <c r="C23" s="223"/>
      <c r="D23" s="223"/>
      <c r="E23" s="223"/>
      <c r="F23" s="223"/>
      <c r="G23" s="223"/>
      <c r="H23" s="223"/>
      <c r="I23" s="223"/>
      <c r="J23" s="13"/>
      <c r="K23" s="14" t="s">
        <v>69</v>
      </c>
      <c r="L23" s="12"/>
      <c r="M23" s="225"/>
      <c r="N23" s="225"/>
      <c r="O23" s="225"/>
      <c r="P23" s="227"/>
      <c r="Q23" s="229" t="s">
        <v>27</v>
      </c>
      <c r="R23" s="230"/>
      <c r="S23" s="5"/>
    </row>
    <row r="24" spans="1:19" ht="30" customHeight="1">
      <c r="A24" s="11"/>
      <c r="B24" s="223"/>
      <c r="C24" s="223"/>
      <c r="D24" s="223"/>
      <c r="E24" s="223"/>
      <c r="F24" s="223"/>
      <c r="G24" s="223"/>
      <c r="H24" s="223"/>
      <c r="I24" s="223"/>
      <c r="J24" s="10"/>
      <c r="K24" s="8"/>
      <c r="L24" s="14"/>
      <c r="M24" s="14"/>
      <c r="N24" s="14"/>
      <c r="O24" s="6"/>
      <c r="P24" s="228"/>
      <c r="Q24" s="231"/>
      <c r="R24" s="232"/>
      <c r="S24" s="5"/>
    </row>
    <row r="25" spans="1:19" ht="28.5" customHeight="1">
      <c r="A25" s="11"/>
      <c r="B25" s="223"/>
      <c r="C25" s="223"/>
      <c r="D25" s="223"/>
      <c r="E25" s="223"/>
      <c r="F25" s="223"/>
      <c r="G25" s="223"/>
      <c r="H25" s="223"/>
      <c r="I25" s="223"/>
      <c r="J25" s="13"/>
      <c r="K25" s="8"/>
      <c r="L25" s="12"/>
      <c r="M25" s="8"/>
      <c r="N25" s="7"/>
      <c r="O25" s="6"/>
      <c r="P25" s="228"/>
      <c r="Q25" s="231"/>
      <c r="R25" s="232"/>
      <c r="S25" s="5"/>
    </row>
    <row r="26" spans="1:19" ht="30" customHeight="1">
      <c r="A26" s="11"/>
      <c r="B26" s="223"/>
      <c r="C26" s="223"/>
      <c r="D26" s="223"/>
      <c r="E26" s="223"/>
      <c r="F26" s="223"/>
      <c r="G26" s="223"/>
      <c r="H26" s="223"/>
      <c r="I26" s="223"/>
      <c r="J26" s="10"/>
      <c r="K26" s="9"/>
      <c r="L26" s="8"/>
      <c r="M26" s="8"/>
      <c r="N26" s="7"/>
      <c r="O26" s="6"/>
      <c r="P26" s="228"/>
      <c r="Q26" s="231"/>
      <c r="R26" s="232"/>
      <c r="S26" s="5"/>
    </row>
    <row r="27" spans="1:19" ht="30" customHeight="1">
      <c r="A27" s="11"/>
      <c r="B27" s="223"/>
      <c r="C27" s="223"/>
      <c r="D27" s="223"/>
      <c r="E27" s="223"/>
      <c r="F27" s="223"/>
      <c r="G27" s="223"/>
      <c r="H27" s="223"/>
      <c r="I27" s="223"/>
      <c r="J27" s="10"/>
      <c r="K27" s="9"/>
      <c r="L27" s="8"/>
      <c r="M27" s="8"/>
      <c r="N27" s="7"/>
      <c r="O27" s="6"/>
      <c r="P27" s="228"/>
      <c r="Q27" s="233"/>
      <c r="R27" s="234"/>
      <c r="S27" s="5"/>
    </row>
    <row r="28" spans="1:19" ht="9.75" hidden="1" customHeight="1" thickBot="1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</row>
    <row r="29" spans="1:19" ht="0.75" hidden="1" customHeight="1"/>
    <row r="30" spans="1:19" ht="9.9499999999999993" hidden="1" customHeight="1"/>
    <row r="31" spans="1:19" ht="9.9499999999999993" hidden="1" customHeight="1"/>
    <row r="32" spans="1:19" ht="30" hidden="1" customHeight="1"/>
    <row r="33" spans="1:19" ht="30" hidden="1" customHeight="1"/>
    <row r="34" spans="1:19" ht="30" hidden="1" customHeight="1"/>
    <row r="35" spans="1:19" ht="30" hidden="1" customHeight="1"/>
    <row r="36" spans="1:19" ht="30" hidden="1" customHeight="1"/>
    <row r="37" spans="1:19" ht="30" hidden="1" customHeight="1"/>
    <row r="38" spans="1:19" ht="30" hidden="1" customHeight="1"/>
    <row r="39" spans="1:19" ht="13.5" thickBot="1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2"/>
    </row>
    <row r="40" spans="1:19"/>
    <row r="41" spans="1:19"/>
    <row r="42" spans="1:19"/>
    <row r="43" spans="1:19"/>
    <row r="44" spans="1:19">
      <c r="L44" s="226"/>
      <c r="M44" s="226"/>
      <c r="N44" s="226"/>
    </row>
    <row r="45" spans="1:19">
      <c r="L45" s="226"/>
      <c r="M45" s="226"/>
      <c r="N45" s="226"/>
    </row>
    <row r="46" spans="1:19"/>
    <row r="47" spans="1:19"/>
    <row r="48" spans="1:19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</sheetData>
  <sheetProtection selectLockedCells="1"/>
  <mergeCells count="27">
    <mergeCell ref="L44:N45"/>
    <mergeCell ref="P23:P27"/>
    <mergeCell ref="Q23:R27"/>
    <mergeCell ref="B24:I24"/>
    <mergeCell ref="B25:I25"/>
    <mergeCell ref="B26:I26"/>
    <mergeCell ref="B27:I27"/>
    <mergeCell ref="B23:I23"/>
    <mergeCell ref="M23:O23"/>
    <mergeCell ref="B20:I20"/>
    <mergeCell ref="B21:I21"/>
    <mergeCell ref="K21:L21"/>
    <mergeCell ref="M21:O21"/>
    <mergeCell ref="B22:I22"/>
    <mergeCell ref="B8:B15"/>
    <mergeCell ref="C8:C10"/>
    <mergeCell ref="C11:C13"/>
    <mergeCell ref="P17:P19"/>
    <mergeCell ref="B19:I19"/>
    <mergeCell ref="K19:L19"/>
    <mergeCell ref="M19:O19"/>
    <mergeCell ref="P1:R1"/>
    <mergeCell ref="N4:R4"/>
    <mergeCell ref="E7:G7"/>
    <mergeCell ref="H7:J7"/>
    <mergeCell ref="K7:M7"/>
    <mergeCell ref="N7:P7"/>
  </mergeCells>
  <conditionalFormatting sqref="Q23:R27">
    <cfRule type="cellIs" dxfId="1" priority="1" operator="lessThan">
      <formula>4</formula>
    </cfRule>
  </conditionalFormatting>
  <dataValidations count="5">
    <dataValidation type="custom" allowBlank="1" showDropDown="1" showInputMessage="1" showErrorMessage="1" errorTitle="err_saisie" error="Valeur incorrecte ..." sqref="M8:M15" xr:uid="{A91958DE-2849-4DBC-8503-21F5D52ADA24}">
      <formula1>IF(OR(M8=2.5,M8=3,M8=3.5),TRUE,FALSE)</formula1>
    </dataValidation>
    <dataValidation type="decimal" allowBlank="1" showInputMessage="1" showErrorMessage="1" sqref="R8:R15" xr:uid="{015875DC-1EBB-4C6C-BB77-4806BA96A439}">
      <formula1>1</formula1>
      <formula2>2.5</formula2>
    </dataValidation>
    <dataValidation type="custom" allowBlank="1" showDropDown="1" showInputMessage="1" showErrorMessage="1" errorTitle="err-saisie" error="Valeur incorrecte ..." sqref="J8:J15" xr:uid="{1B54BAAD-6C4F-434F-B8FE-D0831410FB25}">
      <formula1>IF(OR(J8=4,J8=4.5,J8=5),TRUE,FALSE)</formula1>
    </dataValidation>
    <dataValidation type="custom" allowBlank="1" showDropDown="1" showInputMessage="1" showErrorMessage="1" errorTitle="err_saisie" error="Valeur incorrecte ..." sqref="G8:G15" xr:uid="{C3B42EE5-6692-4F6C-BABA-F6184D68CF60}">
      <formula1>IF(OR(G8=5.5,G8=6),TRUE,FALSE)</formula1>
    </dataValidation>
    <dataValidation type="custom" allowBlank="1" showDropDown="1" showInputMessage="1" showErrorMessage="1" errorTitle="err_saisie" error="Valeur incorrecte ..." sqref="P8:P15" xr:uid="{6D87AB46-F9AF-4C3B-BA62-91AD294AFE07}">
      <formula1>IF(OR(P8=1,P8=1.5,P8=2),TRUE,FALSE)</formula1>
    </dataValidation>
  </dataValidations>
  <printOptions horizontalCentered="1" verticalCentered="1"/>
  <pageMargins left="0.27559055118110237" right="0.27559055118110237" top="0.19685039370078741" bottom="0.19685039370078741" header="0" footer="0"/>
  <pageSetup paperSize="9" scale="37" orientation="landscape" r:id="rId1"/>
  <headerFooter scaleWithDoc="0" alignWithMargins="0">
    <oddFooter>&amp;L&amp;8&amp;D&amp;C&amp;8&amp;F  -  &amp;A&amp;R&amp;8Page 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W83"/>
  <sheetViews>
    <sheetView showGridLines="0" zoomScale="50" zoomScaleNormal="50" workbookViewId="0">
      <selection activeCell="K10" sqref="K10"/>
    </sheetView>
  </sheetViews>
  <sheetFormatPr baseColWidth="10" defaultColWidth="11.25" defaultRowHeight="12.75" zeroHeight="1"/>
  <cols>
    <col min="1" max="1" width="2.375" style="1" customWidth="1"/>
    <col min="2" max="2" width="6.875" style="1" customWidth="1"/>
    <col min="3" max="3" width="9.625" style="1" customWidth="1"/>
    <col min="4" max="4" width="52.75" style="1" customWidth="1"/>
    <col min="5" max="5" width="9.625" style="1" customWidth="1"/>
    <col min="6" max="6" width="43.75" style="1" customWidth="1"/>
    <col min="7" max="8" width="9.625" style="1" customWidth="1"/>
    <col min="9" max="9" width="43.75" style="1" customWidth="1"/>
    <col min="10" max="11" width="9.625" style="1" customWidth="1"/>
    <col min="12" max="12" width="43.75" style="1" customWidth="1"/>
    <col min="13" max="14" width="9.625" style="1" customWidth="1"/>
    <col min="15" max="15" width="43.75" style="1" customWidth="1"/>
    <col min="16" max="16" width="9.625" style="1" customWidth="1"/>
    <col min="17" max="17" width="6.875" style="1" customWidth="1"/>
    <col min="18" max="18" width="9.625" style="1" customWidth="1"/>
    <col min="19" max="19" width="2.375" style="1" customWidth="1"/>
    <col min="20" max="16384" width="11.25" style="1"/>
  </cols>
  <sheetData>
    <row r="1" spans="1:23" ht="71.25" customHeight="1">
      <c r="A1" s="93"/>
      <c r="B1" s="92" t="s">
        <v>0</v>
      </c>
      <c r="C1" s="90"/>
      <c r="D1" s="91"/>
      <c r="E1" s="91"/>
      <c r="F1" s="91"/>
      <c r="G1" s="91"/>
      <c r="H1" s="90"/>
      <c r="I1" s="90"/>
      <c r="J1" s="90"/>
      <c r="K1" s="90"/>
      <c r="L1" s="91"/>
      <c r="M1" s="91"/>
      <c r="N1" s="90"/>
      <c r="O1" s="90"/>
      <c r="P1" s="201" t="s">
        <v>1</v>
      </c>
      <c r="Q1" s="201"/>
      <c r="R1" s="201"/>
      <c r="S1" s="89"/>
    </row>
    <row r="2" spans="1:23" ht="37.5" customHeight="1">
      <c r="A2" s="11"/>
      <c r="B2" s="79"/>
      <c r="C2" s="78" t="s">
        <v>2</v>
      </c>
      <c r="D2" s="88"/>
      <c r="E2" s="88"/>
      <c r="F2" s="88"/>
      <c r="G2" s="87" t="s">
        <v>3</v>
      </c>
      <c r="H2" s="72" t="s">
        <v>70</v>
      </c>
      <c r="I2" s="72"/>
      <c r="J2" s="72"/>
      <c r="K2" s="88"/>
      <c r="L2" s="88"/>
      <c r="M2" s="87" t="s">
        <v>4</v>
      </c>
      <c r="N2" s="72" t="e">
        <f>#REF!</f>
        <v>#REF!</v>
      </c>
      <c r="O2" s="72"/>
      <c r="P2" s="72"/>
      <c r="Q2" s="72"/>
      <c r="R2" s="72"/>
      <c r="S2" s="5"/>
    </row>
    <row r="3" spans="1:23" s="81" customFormat="1" ht="37.5" customHeight="1">
      <c r="A3" s="86"/>
      <c r="B3" s="79"/>
      <c r="C3" s="78"/>
      <c r="D3" s="84"/>
      <c r="E3" s="84"/>
      <c r="F3" s="85"/>
      <c r="G3" s="73" t="s">
        <v>6</v>
      </c>
      <c r="H3" s="72" t="e">
        <f>#REF!</f>
        <v>#REF!</v>
      </c>
      <c r="I3" s="72"/>
      <c r="J3" s="94"/>
      <c r="K3" s="84"/>
      <c r="L3" s="83"/>
      <c r="M3" s="73" t="s">
        <v>8</v>
      </c>
      <c r="N3" s="72" t="e">
        <f>#REF!</f>
        <v>#REF!</v>
      </c>
      <c r="O3" s="72"/>
      <c r="P3" s="72"/>
      <c r="Q3" s="72"/>
      <c r="R3" s="72"/>
      <c r="S3" s="82"/>
    </row>
    <row r="4" spans="1:23" s="57" customFormat="1" ht="37.5" customHeight="1">
      <c r="A4" s="80"/>
      <c r="B4" s="79"/>
      <c r="C4" s="78"/>
      <c r="D4" s="76"/>
      <c r="E4" s="77"/>
      <c r="F4" s="76"/>
      <c r="G4" s="75" t="s">
        <v>9</v>
      </c>
      <c r="H4" s="72" t="e">
        <f>#REF!</f>
        <v>#REF!</v>
      </c>
      <c r="I4" s="72"/>
      <c r="J4" s="72"/>
      <c r="K4" s="74"/>
      <c r="L4" s="73"/>
      <c r="M4" s="73" t="s">
        <v>11</v>
      </c>
      <c r="N4" s="202" t="e">
        <f>#REF!</f>
        <v>#REF!</v>
      </c>
      <c r="O4" s="202"/>
      <c r="P4" s="202"/>
      <c r="Q4" s="202"/>
      <c r="R4" s="202"/>
      <c r="S4" s="71"/>
    </row>
    <row r="5" spans="1:23" s="57" customFormat="1" ht="20.100000000000001" customHeight="1" thickBot="1">
      <c r="A5" s="70"/>
      <c r="B5" s="69"/>
      <c r="C5" s="68"/>
      <c r="D5" s="67"/>
      <c r="E5" s="66"/>
      <c r="F5" s="65"/>
      <c r="G5" s="64"/>
      <c r="H5" s="60"/>
      <c r="I5" s="59"/>
      <c r="J5" s="59"/>
      <c r="K5" s="63"/>
      <c r="L5" s="62"/>
      <c r="M5" s="61"/>
      <c r="N5" s="60"/>
      <c r="O5" s="59"/>
      <c r="P5" s="59"/>
      <c r="Q5" s="59"/>
      <c r="R5" s="59"/>
      <c r="S5" s="58"/>
    </row>
    <row r="6" spans="1:23" s="50" customFormat="1" ht="20.100000000000001" customHeight="1" thickBot="1">
      <c r="A6" s="56"/>
      <c r="D6" s="55"/>
      <c r="E6" s="54"/>
      <c r="F6" s="53"/>
      <c r="G6" s="53"/>
      <c r="I6" s="1"/>
      <c r="J6" s="1"/>
      <c r="O6" s="52"/>
      <c r="P6" s="52"/>
      <c r="Q6" s="52"/>
      <c r="S6" s="51"/>
    </row>
    <row r="7" spans="1:23" s="43" customFormat="1" ht="70.150000000000006" customHeight="1" thickTop="1" thickBot="1">
      <c r="A7" s="49"/>
      <c r="D7" s="48"/>
      <c r="E7" s="203" t="e">
        <f>#REF!</f>
        <v>#REF!</v>
      </c>
      <c r="F7" s="204"/>
      <c r="G7" s="204"/>
      <c r="H7" s="205" t="e">
        <f>#REF!</f>
        <v>#REF!</v>
      </c>
      <c r="I7" s="206"/>
      <c r="J7" s="206"/>
      <c r="K7" s="207" t="e">
        <f>#REF!</f>
        <v>#REF!</v>
      </c>
      <c r="L7" s="208"/>
      <c r="M7" s="208"/>
      <c r="N7" s="209" t="e">
        <f>#REF!</f>
        <v>#REF!</v>
      </c>
      <c r="O7" s="210"/>
      <c r="P7" s="210"/>
      <c r="Q7" s="47" t="e">
        <f>#REF!</f>
        <v>#REF!</v>
      </c>
      <c r="R7" s="46" t="e">
        <f>#REF!</f>
        <v>#REF!</v>
      </c>
      <c r="S7" s="45"/>
      <c r="W7" s="44"/>
    </row>
    <row r="8" spans="1:23" ht="100.15" customHeight="1" thickTop="1">
      <c r="A8" s="11"/>
      <c r="B8" s="211" t="e">
        <f>#REF!</f>
        <v>#REF!</v>
      </c>
      <c r="C8" s="214" t="e">
        <f>#REF!</f>
        <v>#REF!</v>
      </c>
      <c r="D8" s="42" t="e">
        <f>#REF!</f>
        <v>#REF!</v>
      </c>
      <c r="E8" s="116" t="s">
        <v>22</v>
      </c>
      <c r="F8" s="117" t="e">
        <f>#REF!</f>
        <v>#REF!</v>
      </c>
      <c r="G8" s="118"/>
      <c r="H8" s="95" t="s">
        <v>22</v>
      </c>
      <c r="I8" s="96" t="e">
        <f>#REF!</f>
        <v>#REF!</v>
      </c>
      <c r="J8" s="97"/>
      <c r="K8" s="133" t="s">
        <v>22</v>
      </c>
      <c r="L8" s="134" t="e">
        <f>#REF!</f>
        <v>#REF!</v>
      </c>
      <c r="M8" s="135"/>
      <c r="N8" s="152" t="s">
        <v>22</v>
      </c>
      <c r="O8" s="153" t="e">
        <f>#REF!</f>
        <v>#REF!</v>
      </c>
      <c r="P8" s="154"/>
      <c r="Q8" s="36" t="e">
        <f>#REF!</f>
        <v>#REF!</v>
      </c>
      <c r="R8" s="41" t="str">
        <f t="shared" ref="R8:R15" si="0">IF(COUNT(G8,J8,M8,P8)=0,"",IF(COUNT(G8,J8,M8,P8)&lt;&gt;1,"ERREUR",Q8*(G8+J8+M8+P8)))</f>
        <v/>
      </c>
      <c r="S8" s="5"/>
    </row>
    <row r="9" spans="1:23" ht="100.15" customHeight="1">
      <c r="A9" s="11"/>
      <c r="B9" s="212"/>
      <c r="C9" s="215"/>
      <c r="D9" s="40" t="e">
        <f>#REF!</f>
        <v>#REF!</v>
      </c>
      <c r="E9" s="119" t="s">
        <v>22</v>
      </c>
      <c r="F9" s="120" t="e">
        <f>#REF!</f>
        <v>#REF!</v>
      </c>
      <c r="G9" s="121"/>
      <c r="H9" s="98" t="s">
        <v>22</v>
      </c>
      <c r="I9" s="99" t="e">
        <f>#REF!</f>
        <v>#REF!</v>
      </c>
      <c r="J9" s="100"/>
      <c r="K9" s="136" t="s">
        <v>22</v>
      </c>
      <c r="L9" s="137" t="e">
        <f>#REF!</f>
        <v>#REF!</v>
      </c>
      <c r="M9" s="138"/>
      <c r="N9" s="155" t="s">
        <v>22</v>
      </c>
      <c r="O9" s="156" t="e">
        <f>#REF!</f>
        <v>#REF!</v>
      </c>
      <c r="P9" s="157"/>
      <c r="Q9" s="39" t="e">
        <f>#REF!</f>
        <v>#REF!</v>
      </c>
      <c r="R9" s="38" t="str">
        <f t="shared" si="0"/>
        <v/>
      </c>
      <c r="S9" s="5"/>
    </row>
    <row r="10" spans="1:23" ht="100.15" customHeight="1" thickBot="1">
      <c r="A10" s="11"/>
      <c r="B10" s="212"/>
      <c r="C10" s="215"/>
      <c r="D10" s="40" t="e">
        <f>#REF!</f>
        <v>#REF!</v>
      </c>
      <c r="E10" s="122" t="s">
        <v>22</v>
      </c>
      <c r="F10" s="120" t="e">
        <f>#REF!</f>
        <v>#REF!</v>
      </c>
      <c r="G10" s="121"/>
      <c r="H10" s="101" t="s">
        <v>22</v>
      </c>
      <c r="I10" s="102" t="e">
        <f>#REF!</f>
        <v>#REF!</v>
      </c>
      <c r="J10" s="103"/>
      <c r="K10" s="139" t="s">
        <v>22</v>
      </c>
      <c r="L10" s="137" t="e">
        <f>#REF!</f>
        <v>#REF!</v>
      </c>
      <c r="M10" s="138"/>
      <c r="N10" s="158" t="s">
        <v>22</v>
      </c>
      <c r="O10" s="156" t="e">
        <f>#REF!</f>
        <v>#REF!</v>
      </c>
      <c r="P10" s="157"/>
      <c r="Q10" s="39" t="e">
        <f>#REF!</f>
        <v>#REF!</v>
      </c>
      <c r="R10" s="38" t="str">
        <f t="shared" si="0"/>
        <v/>
      </c>
      <c r="S10" s="5"/>
    </row>
    <row r="11" spans="1:23" ht="100.15" customHeight="1" thickTop="1">
      <c r="A11" s="11"/>
      <c r="B11" s="212"/>
      <c r="C11" s="216" t="e">
        <f>#REF!</f>
        <v>#REF!</v>
      </c>
      <c r="D11" s="37" t="e">
        <f>#REF!</f>
        <v>#REF!</v>
      </c>
      <c r="E11" s="116" t="s">
        <v>22</v>
      </c>
      <c r="F11" s="123" t="e">
        <f>#REF!</f>
        <v>#REF!</v>
      </c>
      <c r="G11" s="124"/>
      <c r="H11" s="95" t="s">
        <v>22</v>
      </c>
      <c r="I11" s="104" t="e">
        <f>#REF!</f>
        <v>#REF!</v>
      </c>
      <c r="J11" s="105"/>
      <c r="K11" s="133" t="s">
        <v>22</v>
      </c>
      <c r="L11" s="140" t="e">
        <f>#REF!</f>
        <v>#REF!</v>
      </c>
      <c r="M11" s="141"/>
      <c r="N11" s="152" t="s">
        <v>22</v>
      </c>
      <c r="O11" s="159" t="e">
        <f>#REF!</f>
        <v>#REF!</v>
      </c>
      <c r="P11" s="160"/>
      <c r="Q11" s="36" t="e">
        <f>#REF!</f>
        <v>#REF!</v>
      </c>
      <c r="R11" s="35" t="str">
        <f t="shared" si="0"/>
        <v/>
      </c>
      <c r="S11" s="5"/>
    </row>
    <row r="12" spans="1:23" ht="100.15" customHeight="1">
      <c r="A12" s="11"/>
      <c r="B12" s="212"/>
      <c r="C12" s="217"/>
      <c r="D12" s="34" t="e">
        <f>#REF!</f>
        <v>#REF!</v>
      </c>
      <c r="E12" s="125" t="s">
        <v>22</v>
      </c>
      <c r="F12" s="126" t="e">
        <f>#REF!</f>
        <v>#REF!</v>
      </c>
      <c r="G12" s="127"/>
      <c r="H12" s="106" t="s">
        <v>22</v>
      </c>
      <c r="I12" s="107" t="e">
        <f>#REF!</f>
        <v>#REF!</v>
      </c>
      <c r="J12" s="108"/>
      <c r="K12" s="142" t="s">
        <v>22</v>
      </c>
      <c r="L12" s="143" t="e">
        <f>#REF!</f>
        <v>#REF!</v>
      </c>
      <c r="M12" s="144"/>
      <c r="N12" s="161" t="s">
        <v>22</v>
      </c>
      <c r="O12" s="162" t="e">
        <f>#REF!</f>
        <v>#REF!</v>
      </c>
      <c r="P12" s="163"/>
      <c r="Q12" s="33" t="e">
        <f>#REF!</f>
        <v>#REF!</v>
      </c>
      <c r="R12" s="32" t="str">
        <f t="shared" si="0"/>
        <v/>
      </c>
      <c r="S12" s="5"/>
    </row>
    <row r="13" spans="1:23" ht="100.15" customHeight="1" thickBot="1">
      <c r="A13" s="11"/>
      <c r="B13" s="212"/>
      <c r="C13" s="218"/>
      <c r="D13" s="31" t="e">
        <f>#REF!</f>
        <v>#REF!</v>
      </c>
      <c r="E13" s="122" t="s">
        <v>22</v>
      </c>
      <c r="F13" s="128" t="e">
        <f>#REF!</f>
        <v>#REF!</v>
      </c>
      <c r="G13" s="129"/>
      <c r="H13" s="101" t="s">
        <v>22</v>
      </c>
      <c r="I13" s="109" t="e">
        <f>#REF!</f>
        <v>#REF!</v>
      </c>
      <c r="J13" s="110"/>
      <c r="K13" s="139" t="s">
        <v>22</v>
      </c>
      <c r="L13" s="145" t="e">
        <f>#REF!</f>
        <v>#REF!</v>
      </c>
      <c r="M13" s="146"/>
      <c r="N13" s="158" t="s">
        <v>22</v>
      </c>
      <c r="O13" s="164" t="e">
        <f>#REF!</f>
        <v>#REF!</v>
      </c>
      <c r="P13" s="165"/>
      <c r="Q13" s="28" t="e">
        <f>#REF!</f>
        <v>#REF!</v>
      </c>
      <c r="R13" s="27" t="str">
        <f t="shared" si="0"/>
        <v/>
      </c>
      <c r="S13" s="5"/>
    </row>
    <row r="14" spans="1:23" ht="100.15" customHeight="1" thickTop="1" thickBot="1">
      <c r="A14" s="11"/>
      <c r="B14" s="212"/>
      <c r="C14" s="30" t="e">
        <f>#REF!</f>
        <v>#REF!</v>
      </c>
      <c r="D14" s="31" t="e">
        <f>#REF!</f>
        <v>#REF!</v>
      </c>
      <c r="E14" s="122" t="s">
        <v>22</v>
      </c>
      <c r="F14" s="128" t="e">
        <f>#REF!</f>
        <v>#REF!</v>
      </c>
      <c r="G14" s="129"/>
      <c r="H14" s="101" t="s">
        <v>22</v>
      </c>
      <c r="I14" s="111" t="e">
        <f>#REF!</f>
        <v>#REF!</v>
      </c>
      <c r="J14" s="112"/>
      <c r="K14" s="139" t="s">
        <v>22</v>
      </c>
      <c r="L14" s="147" t="e">
        <f>#REF!</f>
        <v>#REF!</v>
      </c>
      <c r="M14" s="148"/>
      <c r="N14" s="158" t="s">
        <v>22</v>
      </c>
      <c r="O14" s="166" t="e">
        <f>#REF!</f>
        <v>#REF!</v>
      </c>
      <c r="P14" s="167"/>
      <c r="Q14" s="28" t="e">
        <f>#REF!</f>
        <v>#REF!</v>
      </c>
      <c r="R14" s="27" t="str">
        <f t="shared" si="0"/>
        <v/>
      </c>
      <c r="S14" s="5"/>
    </row>
    <row r="15" spans="1:23" ht="120" customHeight="1" thickTop="1" thickBot="1">
      <c r="A15" s="11"/>
      <c r="B15" s="213"/>
      <c r="C15" s="30" t="e">
        <f>#REF!</f>
        <v>#REF!</v>
      </c>
      <c r="D15" s="29" t="e">
        <f>#REF!</f>
        <v>#REF!</v>
      </c>
      <c r="E15" s="130" t="s">
        <v>22</v>
      </c>
      <c r="F15" s="131" t="e">
        <f>#REF!</f>
        <v>#REF!</v>
      </c>
      <c r="G15" s="132"/>
      <c r="H15" s="113" t="s">
        <v>22</v>
      </c>
      <c r="I15" s="114" t="e">
        <f>#REF!</f>
        <v>#REF!</v>
      </c>
      <c r="J15" s="115"/>
      <c r="K15" s="149" t="s">
        <v>22</v>
      </c>
      <c r="L15" s="150" t="e">
        <f>#REF!</f>
        <v>#REF!</v>
      </c>
      <c r="M15" s="151"/>
      <c r="N15" s="168" t="s">
        <v>22</v>
      </c>
      <c r="O15" s="169" t="e">
        <f>#REF!</f>
        <v>#REF!</v>
      </c>
      <c r="P15" s="170"/>
      <c r="Q15" s="28" t="e">
        <f>#REF!</f>
        <v>#REF!</v>
      </c>
      <c r="R15" s="27" t="str">
        <f t="shared" si="0"/>
        <v/>
      </c>
      <c r="S15" s="5"/>
    </row>
    <row r="16" spans="1:23" ht="5.0999999999999996" customHeight="1" thickTop="1">
      <c r="A16" s="11"/>
      <c r="L16" s="26"/>
      <c r="O16" s="26"/>
      <c r="P16" s="26"/>
      <c r="Q16" s="25"/>
      <c r="S16" s="5"/>
    </row>
    <row r="17" spans="1:19" ht="25.5" customHeight="1">
      <c r="A17" s="11"/>
      <c r="B17" s="14" t="s">
        <v>66</v>
      </c>
      <c r="K17" s="8"/>
      <c r="L17" s="8"/>
      <c r="M17" s="14"/>
      <c r="N17" s="24"/>
      <c r="O17" s="23"/>
      <c r="P17" s="219" t="s">
        <v>18</v>
      </c>
      <c r="Q17" s="17"/>
      <c r="R17" s="17"/>
      <c r="S17" s="5"/>
    </row>
    <row r="18" spans="1:19" ht="5.0999999999999996" customHeight="1">
      <c r="A18" s="11"/>
      <c r="F18" s="22"/>
      <c r="H18" s="21"/>
      <c r="K18" s="8"/>
      <c r="L18" s="8"/>
      <c r="M18" s="8"/>
      <c r="N18" s="8"/>
      <c r="O18" s="8"/>
      <c r="P18" s="219"/>
      <c r="Q18" s="17"/>
      <c r="R18" s="17"/>
      <c r="S18" s="5"/>
    </row>
    <row r="19" spans="1:19" ht="30" customHeight="1">
      <c r="A19" s="11"/>
      <c r="B19" s="220"/>
      <c r="C19" s="220"/>
      <c r="D19" s="220"/>
      <c r="E19" s="220"/>
      <c r="F19" s="220"/>
      <c r="G19" s="220"/>
      <c r="H19" s="220"/>
      <c r="I19" s="220"/>
      <c r="K19" s="221" t="s">
        <v>67</v>
      </c>
      <c r="L19" s="221"/>
      <c r="M19" s="222"/>
      <c r="N19" s="222"/>
      <c r="O19" s="222"/>
      <c r="P19" s="219"/>
      <c r="Q19" s="17"/>
      <c r="R19" s="17"/>
      <c r="S19" s="5"/>
    </row>
    <row r="20" spans="1:19" ht="30" customHeight="1">
      <c r="A20" s="11"/>
      <c r="B20" s="223"/>
      <c r="C20" s="223"/>
      <c r="D20" s="223"/>
      <c r="E20" s="223"/>
      <c r="F20" s="223"/>
      <c r="G20" s="223"/>
      <c r="H20" s="223"/>
      <c r="I20" s="223"/>
      <c r="K20" s="20"/>
      <c r="L20" s="20"/>
      <c r="M20" s="8"/>
      <c r="N20" s="8"/>
      <c r="O20" s="8"/>
      <c r="P20" s="19"/>
      <c r="Q20" s="18"/>
      <c r="R20" s="17"/>
      <c r="S20" s="5"/>
    </row>
    <row r="21" spans="1:19" ht="30" customHeight="1">
      <c r="A21" s="11"/>
      <c r="B21" s="223"/>
      <c r="C21" s="223"/>
      <c r="D21" s="223"/>
      <c r="E21" s="223"/>
      <c r="F21" s="223"/>
      <c r="G21" s="223"/>
      <c r="H21" s="223"/>
      <c r="I21" s="223"/>
      <c r="K21" s="224" t="s">
        <v>68</v>
      </c>
      <c r="L21" s="224"/>
      <c r="M21" s="225"/>
      <c r="N21" s="225"/>
      <c r="O21" s="225"/>
      <c r="P21" s="15"/>
      <c r="Q21" s="16"/>
      <c r="R21" s="16"/>
      <c r="S21" s="5"/>
    </row>
    <row r="22" spans="1:19" ht="30" customHeight="1">
      <c r="A22" s="11"/>
      <c r="B22" s="223"/>
      <c r="C22" s="223"/>
      <c r="D22" s="223"/>
      <c r="E22" s="223"/>
      <c r="F22" s="223"/>
      <c r="G22" s="223"/>
      <c r="H22" s="223"/>
      <c r="I22" s="223"/>
      <c r="K22" s="8"/>
      <c r="L22" s="8"/>
      <c r="M22" s="8"/>
      <c r="N22" s="8"/>
      <c r="O22" s="8"/>
      <c r="P22" s="15"/>
      <c r="Q22" s="15"/>
      <c r="S22" s="5"/>
    </row>
    <row r="23" spans="1:19" ht="30" customHeight="1">
      <c r="A23" s="11"/>
      <c r="B23" s="223"/>
      <c r="C23" s="223"/>
      <c r="D23" s="223"/>
      <c r="E23" s="223"/>
      <c r="F23" s="223"/>
      <c r="G23" s="223"/>
      <c r="H23" s="223"/>
      <c r="I23" s="223"/>
      <c r="J23" s="13"/>
      <c r="K23" s="14" t="s">
        <v>69</v>
      </c>
      <c r="L23" s="12"/>
      <c r="M23" s="225"/>
      <c r="N23" s="225"/>
      <c r="O23" s="225"/>
      <c r="P23" s="227"/>
      <c r="Q23" s="229" t="str">
        <f>IF(COUNT(R8:R15)=8,MROUND(SUM(R8:R15)/SUM(Q8:Q15),0.5),"")</f>
        <v/>
      </c>
      <c r="R23" s="230"/>
      <c r="S23" s="5"/>
    </row>
    <row r="24" spans="1:19" ht="30" customHeight="1">
      <c r="A24" s="11"/>
      <c r="B24" s="223"/>
      <c r="C24" s="223"/>
      <c r="D24" s="223"/>
      <c r="E24" s="223"/>
      <c r="F24" s="223"/>
      <c r="G24" s="223"/>
      <c r="H24" s="223"/>
      <c r="I24" s="223"/>
      <c r="J24" s="10"/>
      <c r="K24" s="8"/>
      <c r="L24" s="14"/>
      <c r="M24" s="14"/>
      <c r="N24" s="14"/>
      <c r="O24" s="6"/>
      <c r="P24" s="228"/>
      <c r="Q24" s="231"/>
      <c r="R24" s="232"/>
      <c r="S24" s="5"/>
    </row>
    <row r="25" spans="1:19" ht="28.5" customHeight="1">
      <c r="A25" s="11"/>
      <c r="B25" s="223"/>
      <c r="C25" s="223"/>
      <c r="D25" s="223"/>
      <c r="E25" s="223"/>
      <c r="F25" s="223"/>
      <c r="G25" s="223"/>
      <c r="H25" s="223"/>
      <c r="I25" s="223"/>
      <c r="J25" s="13"/>
      <c r="K25" s="8"/>
      <c r="L25" s="12"/>
      <c r="M25" s="8"/>
      <c r="N25" s="7"/>
      <c r="O25" s="6"/>
      <c r="P25" s="228"/>
      <c r="Q25" s="231"/>
      <c r="R25" s="232"/>
      <c r="S25" s="5"/>
    </row>
    <row r="26" spans="1:19" ht="30" customHeight="1">
      <c r="A26" s="11"/>
      <c r="B26" s="223"/>
      <c r="C26" s="223"/>
      <c r="D26" s="223"/>
      <c r="E26" s="223"/>
      <c r="F26" s="223"/>
      <c r="G26" s="223"/>
      <c r="H26" s="223"/>
      <c r="I26" s="223"/>
      <c r="J26" s="10"/>
      <c r="K26" s="9"/>
      <c r="L26" s="8"/>
      <c r="M26" s="8"/>
      <c r="N26" s="7"/>
      <c r="O26" s="6"/>
      <c r="P26" s="228"/>
      <c r="Q26" s="231"/>
      <c r="R26" s="232"/>
      <c r="S26" s="5"/>
    </row>
    <row r="27" spans="1:19" ht="30" customHeight="1">
      <c r="A27" s="11"/>
      <c r="B27" s="223"/>
      <c r="C27" s="223"/>
      <c r="D27" s="223"/>
      <c r="E27" s="223"/>
      <c r="F27" s="223"/>
      <c r="G27" s="223"/>
      <c r="H27" s="223"/>
      <c r="I27" s="223"/>
      <c r="J27" s="10"/>
      <c r="K27" s="9"/>
      <c r="L27" s="8"/>
      <c r="M27" s="8"/>
      <c r="N27" s="7"/>
      <c r="O27" s="6"/>
      <c r="P27" s="228"/>
      <c r="Q27" s="233"/>
      <c r="R27" s="234"/>
      <c r="S27" s="5"/>
    </row>
    <row r="28" spans="1:19" ht="9.75" hidden="1" customHeight="1" thickBot="1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</row>
    <row r="29" spans="1:19" ht="0.75" hidden="1" customHeight="1"/>
    <row r="30" spans="1:19" ht="9.9499999999999993" hidden="1" customHeight="1"/>
    <row r="31" spans="1:19" ht="9.9499999999999993" hidden="1" customHeight="1"/>
    <row r="32" spans="1:19" ht="30" hidden="1" customHeight="1"/>
    <row r="33" spans="1:19" ht="30" hidden="1" customHeight="1"/>
    <row r="34" spans="1:19" ht="30" hidden="1" customHeight="1"/>
    <row r="35" spans="1:19" ht="30" hidden="1" customHeight="1"/>
    <row r="36" spans="1:19" ht="30" hidden="1" customHeight="1"/>
    <row r="37" spans="1:19" ht="30" hidden="1" customHeight="1"/>
    <row r="38" spans="1:19" ht="30" hidden="1" customHeight="1"/>
    <row r="39" spans="1:19" ht="13.5" thickBot="1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2"/>
    </row>
    <row r="40" spans="1:19"/>
    <row r="41" spans="1:19"/>
    <row r="42" spans="1:19"/>
    <row r="43" spans="1:19"/>
    <row r="44" spans="1:19">
      <c r="L44" s="226"/>
      <c r="M44" s="226"/>
      <c r="N44" s="226"/>
    </row>
    <row r="45" spans="1:19">
      <c r="L45" s="226"/>
      <c r="M45" s="226"/>
      <c r="N45" s="226"/>
    </row>
    <row r="46" spans="1:19"/>
    <row r="47" spans="1:19"/>
    <row r="48" spans="1:19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</sheetData>
  <sheetProtection sheet="1" objects="1" scenarios="1" selectLockedCells="1"/>
  <mergeCells count="27">
    <mergeCell ref="B8:B15"/>
    <mergeCell ref="C8:C10"/>
    <mergeCell ref="C11:C13"/>
    <mergeCell ref="L44:N45"/>
    <mergeCell ref="B19:I19"/>
    <mergeCell ref="B20:I20"/>
    <mergeCell ref="B26:I26"/>
    <mergeCell ref="B27:I27"/>
    <mergeCell ref="B21:I21"/>
    <mergeCell ref="B22:I22"/>
    <mergeCell ref="B23:I23"/>
    <mergeCell ref="B24:I24"/>
    <mergeCell ref="B25:I25"/>
    <mergeCell ref="P1:R1"/>
    <mergeCell ref="E7:G7"/>
    <mergeCell ref="H7:J7"/>
    <mergeCell ref="K7:M7"/>
    <mergeCell ref="N7:P7"/>
    <mergeCell ref="N4:R4"/>
    <mergeCell ref="P17:P19"/>
    <mergeCell ref="K19:L19"/>
    <mergeCell ref="K21:L21"/>
    <mergeCell ref="P23:P27"/>
    <mergeCell ref="Q23:R27"/>
    <mergeCell ref="M23:O23"/>
    <mergeCell ref="M19:O19"/>
    <mergeCell ref="M21:O21"/>
  </mergeCells>
  <conditionalFormatting sqref="Q23:R27">
    <cfRule type="cellIs" dxfId="0" priority="1" operator="lessThan">
      <formula>4</formula>
    </cfRule>
  </conditionalFormatting>
  <dataValidations count="5">
    <dataValidation type="custom" allowBlank="1" showDropDown="1" showInputMessage="1" showErrorMessage="1" errorTitle="err_saisie" error="Valeur incorrecte ..." sqref="M8:M15" xr:uid="{00000000-0002-0000-0200-000000000000}">
      <formula1>IF(OR(M8=2.5,M8=3,M8=3.5),TRUE,FALSE)</formula1>
    </dataValidation>
    <dataValidation type="decimal" allowBlank="1" showInputMessage="1" showErrorMessage="1" sqref="R8:R15" xr:uid="{00000000-0002-0000-0200-000001000000}">
      <formula1>1</formula1>
      <formula2>2.5</formula2>
    </dataValidation>
    <dataValidation type="custom" allowBlank="1" showDropDown="1" showInputMessage="1" showErrorMessage="1" errorTitle="err-saisie" error="Valeur incorrecte ..." sqref="J8:J15" xr:uid="{00000000-0002-0000-0200-000002000000}">
      <formula1>IF(OR(J8=4,J8=4.5,J8=5),TRUE,FALSE)</formula1>
    </dataValidation>
    <dataValidation type="custom" allowBlank="1" showDropDown="1" showInputMessage="1" showErrorMessage="1" errorTitle="err_saisie" error="Valeur incorrecte ..." sqref="G8:G15" xr:uid="{00000000-0002-0000-0200-000003000000}">
      <formula1>IF(OR(G8=5.5,G8=6),TRUE,FALSE)</formula1>
    </dataValidation>
    <dataValidation type="custom" allowBlank="1" showDropDown="1" showInputMessage="1" showErrorMessage="1" errorTitle="err_saisie" error="Valeur incorrecte ..." sqref="P8:P15" xr:uid="{00000000-0002-0000-0200-000004000000}">
      <formula1>IF(OR(P8=1,P8=1.5,P8=2),TRUE,FALSE)</formula1>
    </dataValidation>
  </dataValidations>
  <printOptions horizontalCentered="1" verticalCentered="1"/>
  <pageMargins left="0.27559055118110237" right="0.27559055118110237" top="0.19685039370078741" bottom="0.19685039370078741" header="0" footer="0"/>
  <pageSetup paperSize="9" scale="37" orientation="landscape" r:id="rId1"/>
  <headerFooter scaleWithDoc="0" alignWithMargins="0">
    <oddFooter>&amp;L&amp;8&amp;D&amp;C&amp;8&amp;F  -  &amp;A&amp;R&amp;8Page 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5" ma:contentTypeDescription="Crée un document." ma:contentTypeScope="" ma:versionID="4f23f597310567a6a19747a62c5cbdeb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db1f46dca68de8098de48d7491e9585b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7d572699-ade5-45a4-aa39-af741fdc7899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7BDBDC64-5998-43BB-BE72-48DB88632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DEA3A06-E18E-41B4-A263-EFC5ABAA99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F4B3CC-B9A9-4B91-B175-7E706E30D804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Vide</vt:lpstr>
      <vt:lpstr>MASTER</vt:lpstr>
      <vt:lpstr>MASTER!Zone_d_impression</vt:lpstr>
      <vt:lpstr>Vide!Zone_d_impression</vt:lpstr>
    </vt:vector>
  </TitlesOfParts>
  <Manager/>
  <Company>ETML Lausanne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d'évaluation de projet</dc:title>
  <dc:subject/>
  <dc:creator>Jonathan Melly</dc:creator>
  <cp:keywords/>
  <dc:description/>
  <cp:lastModifiedBy>Dany Carneiro</cp:lastModifiedBy>
  <cp:revision/>
  <dcterms:created xsi:type="dcterms:W3CDTF">2004-01-13T09:53:52Z</dcterms:created>
  <dcterms:modified xsi:type="dcterms:W3CDTF">2023-12-21T14:11:16Z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